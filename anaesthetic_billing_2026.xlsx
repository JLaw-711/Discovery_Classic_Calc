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\anaesthetic_calc_26\"/>
    </mc:Choice>
  </mc:AlternateContent>
  <xr:revisionPtr revIDLastSave="0" documentId="13_ncr:1_{5F152290-2169-4177-A13A-7C22DB44D894}" xr6:coauthVersionLast="47" xr6:coauthVersionMax="47" xr10:uidLastSave="{00000000-0000-0000-0000-000000000000}"/>
  <bookViews>
    <workbookView xWindow="-105" yWindow="0" windowWidth="26010" windowHeight="20985" activeTab="1" xr2:uid="{00000000-000D-0000-FFFF-FFFF00000000}"/>
  </bookViews>
  <sheets>
    <sheet name="Rates" sheetId="1" r:id="rId1"/>
    <sheet name="Input" sheetId="2" r:id="rId2"/>
    <sheet name="Calculations" sheetId="3" state="hidden" r:id="rId3"/>
    <sheet name="Output" sheetId="4" r:id="rId4"/>
  </sheets>
  <definedNames>
    <definedName name="BASE_AN">Rates!$B$4</definedName>
    <definedName name="BASE_CL">Rates!$B$5</definedName>
    <definedName name="RCF_AN">Rates!$B$1</definedName>
    <definedName name="RCF_CL">Rates!$B$2</definedName>
    <definedName name="VAT">Rates!$B$3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4" l="1"/>
  <c r="C9" i="4"/>
  <c r="B9" i="4"/>
  <c r="A9" i="4"/>
  <c r="D8" i="4"/>
  <c r="C8" i="4"/>
  <c r="B8" i="4"/>
  <c r="A8" i="4"/>
  <c r="D7" i="4"/>
  <c r="C7" i="4"/>
  <c r="B7" i="4"/>
  <c r="A7" i="4"/>
  <c r="D6" i="4"/>
  <c r="C6" i="4"/>
  <c r="B6" i="4"/>
  <c r="A6" i="4"/>
  <c r="F3" i="4"/>
  <c r="D3" i="4"/>
  <c r="B3" i="4"/>
  <c r="F2" i="4"/>
  <c r="D2" i="4"/>
  <c r="B2" i="4"/>
  <c r="B13" i="3"/>
  <c r="B14" i="3" s="1"/>
  <c r="B7" i="3"/>
  <c r="B6" i="3"/>
  <c r="I6" i="4" s="1"/>
  <c r="B3" i="3"/>
  <c r="B2" i="3"/>
  <c r="I3" i="4" s="1"/>
  <c r="B1" i="3"/>
  <c r="B15" i="3" s="1"/>
  <c r="B16" i="3" s="1"/>
  <c r="C7" i="2"/>
  <c r="B8" i="3" l="1"/>
  <c r="B4" i="3"/>
  <c r="I5" i="4" s="1"/>
  <c r="F7" i="4"/>
  <c r="I4" i="4"/>
  <c r="F8" i="4"/>
  <c r="B10" i="3"/>
  <c r="D10" i="4" s="1"/>
  <c r="B20" i="3"/>
  <c r="I12" i="4" s="1"/>
  <c r="F6" i="4"/>
  <c r="I2" i="4"/>
  <c r="D9" i="4"/>
  <c r="F9" i="4" s="1"/>
  <c r="D11" i="4"/>
  <c r="I11" i="4"/>
  <c r="B9" i="3"/>
  <c r="B10" i="4" s="1"/>
  <c r="I7" i="4"/>
  <c r="I10" i="4"/>
  <c r="B17" i="3"/>
  <c r="C11" i="4"/>
  <c r="I9" i="4" l="1"/>
  <c r="C12" i="4"/>
  <c r="F11" i="4"/>
  <c r="D12" i="4"/>
  <c r="F12" i="4" s="1"/>
  <c r="B11" i="3"/>
  <c r="I8" i="4"/>
  <c r="C10" i="4"/>
  <c r="F10" i="4" s="1"/>
  <c r="F14" i="4" s="1"/>
  <c r="F15" i="4" l="1"/>
  <c r="F16" i="4" s="1"/>
</calcChain>
</file>

<file path=xl/sharedStrings.xml><?xml version="1.0" encoding="utf-8"?>
<sst xmlns="http://schemas.openxmlformats.org/spreadsheetml/2006/main" count="2739" uniqueCount="2621">
  <si>
    <t>RCF_AN</t>
  </si>
  <si>
    <t>RCF_CL</t>
  </si>
  <si>
    <t>VAT</t>
  </si>
  <si>
    <t>BASE_AN</t>
  </si>
  <si>
    <t>BASE_CL</t>
  </si>
  <si>
    <t>Code</t>
  </si>
  <si>
    <t>Description</t>
  </si>
  <si>
    <t>RVU</t>
  </si>
  <si>
    <t>BaseAmount</t>
  </si>
  <si>
    <t>SpecialtyIndex</t>
  </si>
  <si>
    <t>0227</t>
  </si>
  <si>
    <t>Special treatment of severe acne cases, including draining of cysts, e</t>
  </si>
  <si>
    <t>0233</t>
  </si>
  <si>
    <t>Biopsy without suturing: First lesion</t>
  </si>
  <si>
    <t>0234</t>
  </si>
  <si>
    <t>Biopsy without suturing: Subsequent lesions (each)</t>
  </si>
  <si>
    <t>0235</t>
  </si>
  <si>
    <t>Biopsy without suturing: Maximum for multiple additional lesions</t>
  </si>
  <si>
    <t>0237</t>
  </si>
  <si>
    <t>Deep skin biopsy by surgical incision with local anaesthetic and sutur</t>
  </si>
  <si>
    <t>0241</t>
  </si>
  <si>
    <t>Treatment of benign skin lesion by chemo-cryotherapy: First Lesion</t>
  </si>
  <si>
    <t>0242</t>
  </si>
  <si>
    <t>Treatment of benign skin lesion by chemo-cryotherapy: Subsequent lesio</t>
  </si>
  <si>
    <t>0243</t>
  </si>
  <si>
    <t>Treatment of benign skin lesion by chemo-cryotherapy: Maximum for mult</t>
  </si>
  <si>
    <t>0244</t>
  </si>
  <si>
    <t>Repair of nail bed</t>
  </si>
  <si>
    <t>0245</t>
  </si>
  <si>
    <t>Removal of benign lesion by curretting under local or general anaesthe</t>
  </si>
  <si>
    <t>0246</t>
  </si>
  <si>
    <t>0251</t>
  </si>
  <si>
    <t>Removal of malignant lesions by curretting under local or general anae</t>
  </si>
  <si>
    <t>0252</t>
  </si>
  <si>
    <t>0255</t>
  </si>
  <si>
    <t>Drainage of subcutaneous abscess onychia, paronychia, pulp space or av</t>
  </si>
  <si>
    <t>0257</t>
  </si>
  <si>
    <t>Drainage of major hand or foot infection: Drainage of major abscess wi</t>
  </si>
  <si>
    <t>0259</t>
  </si>
  <si>
    <t>Removal of foreign body superficial to deep fascia (except hands)</t>
  </si>
  <si>
    <t>0261</t>
  </si>
  <si>
    <t>Removal of foreign body deep to deep fascia (except hands)</t>
  </si>
  <si>
    <t>0271</t>
  </si>
  <si>
    <t>Kurtin planing for acne scarring: Whole face</t>
  </si>
  <si>
    <t>0273</t>
  </si>
  <si>
    <t>Kurtin planing for acne scarring: Extensive</t>
  </si>
  <si>
    <t>0275</t>
  </si>
  <si>
    <t>Kurtin planing for acne scarring: Limited</t>
  </si>
  <si>
    <t>0277</t>
  </si>
  <si>
    <t>Kurtin planing for acne scarring: Subsequent planing of whole face wit</t>
  </si>
  <si>
    <t>0279</t>
  </si>
  <si>
    <t>Surgical treatment for axillary hyperhidrosis</t>
  </si>
  <si>
    <t>0280</t>
  </si>
  <si>
    <t>Laser treatment for small skin lesions: First lesion</t>
  </si>
  <si>
    <t>0281</t>
  </si>
  <si>
    <t>Laser treatment for small skin lesions: Subsequent lesions (each)</t>
  </si>
  <si>
    <t>0282</t>
  </si>
  <si>
    <t>Laser treatment for small skin lesions: Maximum for multiple additiona</t>
  </si>
  <si>
    <t>0283</t>
  </si>
  <si>
    <t>Laser treatment for large skin lesions: Limited area</t>
  </si>
  <si>
    <t>0284</t>
  </si>
  <si>
    <t>Laser treatment for large skin lesions: Extensive area</t>
  </si>
  <si>
    <t>0285</t>
  </si>
  <si>
    <t>Laser treatment for large skin lesions: Whole face or other areas of e</t>
  </si>
  <si>
    <t>0289</t>
  </si>
  <si>
    <t>Large skin grafts, composite skin grafts, large full thickness free sk</t>
  </si>
  <si>
    <t>0290</t>
  </si>
  <si>
    <t>Reconstructive procedures (including all stages) and skin graft by myo</t>
  </si>
  <si>
    <t>0291</t>
  </si>
  <si>
    <t>Reconstructive procedures (including all stages) grafting by micro-vas</t>
  </si>
  <si>
    <t>0292</t>
  </si>
  <si>
    <t>Distant flaps: First stage</t>
  </si>
  <si>
    <t>0293</t>
  </si>
  <si>
    <t>Contour grafts (excluding cost of material)</t>
  </si>
  <si>
    <t>0294</t>
  </si>
  <si>
    <t>Vascularised bone graft with or without soft tissue with one or more s</t>
  </si>
  <si>
    <t>0295</t>
  </si>
  <si>
    <t>Local skin flaps (large, complicated)</t>
  </si>
  <si>
    <t>0296</t>
  </si>
  <si>
    <t>Other procedures of major technical nature</t>
  </si>
  <si>
    <t>0297</t>
  </si>
  <si>
    <t>Subsequent major procedures for repair of same lesion</t>
  </si>
  <si>
    <t>0298</t>
  </si>
  <si>
    <t>Lower abdominal dermo-lipectomy</t>
  </si>
  <si>
    <t>0299</t>
  </si>
  <si>
    <t>Major abdominal lipectomy with repositioning of umbilicus</t>
  </si>
  <si>
    <t>0300</t>
  </si>
  <si>
    <t>Stitching of soft-tissue injuries: Stitching of wound (with or without</t>
  </si>
  <si>
    <t>0301</t>
  </si>
  <si>
    <t xml:space="preserve">Stitching of soft-tissue injuries: Additional wounds stitched at same </t>
  </si>
  <si>
    <t>0304</t>
  </si>
  <si>
    <t>Major debridement of wound, sloughectomy or secondary suture</t>
  </si>
  <si>
    <t>0311</t>
  </si>
  <si>
    <t>Excision of large benign tumour (more than 5 cm)</t>
  </si>
  <si>
    <t>0314</t>
  </si>
  <si>
    <t>Requiring repair by large skin graft or large local flap or other proc</t>
  </si>
  <si>
    <t>0315</t>
  </si>
  <si>
    <t>Requiring repair by small skin graft or small local flap or other proc</t>
  </si>
  <si>
    <t>0319</t>
  </si>
  <si>
    <t xml:space="preserve">Mastotomy with exploration, drainage of abscess or removal of mammary </t>
  </si>
  <si>
    <t>0321</t>
  </si>
  <si>
    <t>Biopsy or excision of cyst, benign tumour, aberrant breast tissue, duc</t>
  </si>
  <si>
    <t>0323</t>
  </si>
  <si>
    <t>Subareolar cone excision of ducts of wedge excision of breast</t>
  </si>
  <si>
    <t>0324</t>
  </si>
  <si>
    <t>Wedge excision of breast and axillary dissection</t>
  </si>
  <si>
    <t>0325</t>
  </si>
  <si>
    <t>Total mastectomy</t>
  </si>
  <si>
    <t>0327</t>
  </si>
  <si>
    <t>Total mastectomy with axillary gland biopsy</t>
  </si>
  <si>
    <t>0329</t>
  </si>
  <si>
    <t>Total mastectomy with axillary gland dissection</t>
  </si>
  <si>
    <t>0330</t>
  </si>
  <si>
    <t>Nipple and areola reconstruction</t>
  </si>
  <si>
    <t>0331</t>
  </si>
  <si>
    <t>Subcutaneous mastectomy for disease of breast; including reconstructio</t>
  </si>
  <si>
    <t>0333</t>
  </si>
  <si>
    <t>0334</t>
  </si>
  <si>
    <t>Removal of breast implant by means of capsulectomy: Per breast</t>
  </si>
  <si>
    <t>0335</t>
  </si>
  <si>
    <t>Implantation of internal subpectoral mammary prosthesis in post mastec</t>
  </si>
  <si>
    <t>0337</t>
  </si>
  <si>
    <t>Reduction: Mammoplasty for pathological hypertrophy: Unilateral</t>
  </si>
  <si>
    <t>0339</t>
  </si>
  <si>
    <t>Reduction: Mammoplasty for pathological hypertrophy: Bilateral</t>
  </si>
  <si>
    <t>0351</t>
  </si>
  <si>
    <t>Major Burns: Resuscitation (including supervision and intravenous ther</t>
  </si>
  <si>
    <t>0355</t>
  </si>
  <si>
    <t>Skin flap in acute hand injuries where a flap is taken from a site rem</t>
  </si>
  <si>
    <t>0357</t>
  </si>
  <si>
    <t>Small skin graft in acute hand injury</t>
  </si>
  <si>
    <t>0359</t>
  </si>
  <si>
    <t>Release of extensive skin contracture and/or excision of scar tissue w</t>
  </si>
  <si>
    <t>0363</t>
  </si>
  <si>
    <t>Local flap and skin graft</t>
  </si>
  <si>
    <t>0365</t>
  </si>
  <si>
    <t>Cross finger flap (all stages)</t>
  </si>
  <si>
    <t>0373</t>
  </si>
  <si>
    <t>Transfer neurovascular island flap</t>
  </si>
  <si>
    <t>0374</t>
  </si>
  <si>
    <t>Syndactyly: Separation of, including skin graft for one web (with skin</t>
  </si>
  <si>
    <t>0375</t>
  </si>
  <si>
    <t>Dupuytren's contracture: Fasciotomy</t>
  </si>
  <si>
    <t>0376</t>
  </si>
  <si>
    <t>Dupuytren's contracture: Fasciectomy</t>
  </si>
  <si>
    <t>0383</t>
  </si>
  <si>
    <t>Fracture (reduction under general anaesthetic): Scapula</t>
  </si>
  <si>
    <t>0387</t>
  </si>
  <si>
    <t>Fracture (reduction under general anaesthetic): Clavicle</t>
  </si>
  <si>
    <t>0388</t>
  </si>
  <si>
    <t>Percutaneous pinning of supracondylar fracture: Elbow - stand alone pr</t>
  </si>
  <si>
    <t>0389</t>
  </si>
  <si>
    <t>Fracture (reduction under general anaesthetic): Humerus</t>
  </si>
  <si>
    <t>0391</t>
  </si>
  <si>
    <t>Fracture (reduction under general anaesthetic): Radius and/or Ulna</t>
  </si>
  <si>
    <t>0392</t>
  </si>
  <si>
    <t>Fracture (reduction under general anaesthetic): Open reduction of both</t>
  </si>
  <si>
    <t>0402</t>
  </si>
  <si>
    <t>Fracture (reduction under general anaesthetic): Carpal bone</t>
  </si>
  <si>
    <t>0403</t>
  </si>
  <si>
    <t>Fracture (reduction under general anaesthetic): Bennett fracture-dislo</t>
  </si>
  <si>
    <t>0405</t>
  </si>
  <si>
    <t>Fracture (reduction under general anaesthetic): Open treatment of meta</t>
  </si>
  <si>
    <t>0409</t>
  </si>
  <si>
    <t>Fracture (reduction under general anaesthetic): Finger phalanx: Distal</t>
  </si>
  <si>
    <t>0411</t>
  </si>
  <si>
    <t>0413</t>
  </si>
  <si>
    <t>Fracture (reduction under general anaesthetic): Proximal or middle: Si</t>
  </si>
  <si>
    <t>0415</t>
  </si>
  <si>
    <t>Fracture (reduction under general anaesthetic): Proximal or middle: Co</t>
  </si>
  <si>
    <t>0417</t>
  </si>
  <si>
    <t>Fracture (reduction under general anaesthetic): Pelvis fracture: Close</t>
  </si>
  <si>
    <t>0419</t>
  </si>
  <si>
    <t>Fracture (reduction under general anaesthetic): Pelvis: Operative redu</t>
  </si>
  <si>
    <t>0421</t>
  </si>
  <si>
    <t>Fracture (reduction under general anaesthetic): Femur: Neck or Shaft</t>
  </si>
  <si>
    <t>0425</t>
  </si>
  <si>
    <t>Fracture (reduction under general anaesthetic): Patella</t>
  </si>
  <si>
    <t>0429</t>
  </si>
  <si>
    <t xml:space="preserve">Fracture (reduction under general anaesthetic): Tibia with or without </t>
  </si>
  <si>
    <t>0433</t>
  </si>
  <si>
    <t>Fracture (reduction under general anaesthetic): Fibula shaft</t>
  </si>
  <si>
    <t>0435</t>
  </si>
  <si>
    <t>Fracture (reduction under general anaesthetic): Malleolus of ankle</t>
  </si>
  <si>
    <t>0437</t>
  </si>
  <si>
    <t>Fracture (reduction under general anaesthetic): Fracture-dislocation o</t>
  </si>
  <si>
    <t>0438</t>
  </si>
  <si>
    <t>Fracture (reduction under general anaesthetic): Open reduction Talus f</t>
  </si>
  <si>
    <t>0439</t>
  </si>
  <si>
    <t>Fracture (reduction under general anaesthetic): Tarsal bones (excludin</t>
  </si>
  <si>
    <t>0440</t>
  </si>
  <si>
    <t>Fracture (reduction under general anaesthetic): Open reduction Calcane</t>
  </si>
  <si>
    <t>0441</t>
  </si>
  <si>
    <t>Fracture (reduction under general anaesthetic): Metatarsal</t>
  </si>
  <si>
    <t>0443</t>
  </si>
  <si>
    <t>Fracture (reduction under general anaesthetic): Toe phalanx: Distal Si</t>
  </si>
  <si>
    <t>0445</t>
  </si>
  <si>
    <t>Fracture (reduction under general anaesthetic): Toe phalanx: Compound</t>
  </si>
  <si>
    <t>0447</t>
  </si>
  <si>
    <t>Fracture (reduction under general anaesthetic): Other: Simple</t>
  </si>
  <si>
    <t>0449</t>
  </si>
  <si>
    <t>Fracture (reduction under general anaesthetic): Other: Compound</t>
  </si>
  <si>
    <t>0451</t>
  </si>
  <si>
    <t>Fracture (reduction under general anaesthetic): Sternum and/or ribs: C</t>
  </si>
  <si>
    <t>0452</t>
  </si>
  <si>
    <t>Fracture (reduction under general anaesthetic): Sternum and/or ribs: O</t>
  </si>
  <si>
    <t>0455</t>
  </si>
  <si>
    <t>Fracture (reduction under general anaesthetic): Spine: With or without</t>
  </si>
  <si>
    <t>0456</t>
  </si>
  <si>
    <t>0461</t>
  </si>
  <si>
    <t xml:space="preserve">Fracture (reduction under general anaesthetic): Compression fracture: </t>
  </si>
  <si>
    <t>0462</t>
  </si>
  <si>
    <t>0463</t>
  </si>
  <si>
    <t xml:space="preserve">Fracture (reduction under general anaesthetic): Spinous or transverse </t>
  </si>
  <si>
    <t>0464</t>
  </si>
  <si>
    <t>0465</t>
  </si>
  <si>
    <t>Fractures involving large joints (includes the item for the relative b</t>
  </si>
  <si>
    <t>0475</t>
  </si>
  <si>
    <t>Bonegrafting or internal fixation for malunion or non-union: Femur, Ti</t>
  </si>
  <si>
    <t>0479</t>
  </si>
  <si>
    <t>Bonegrafting or internal fixation for malunion or non-union: Other bon</t>
  </si>
  <si>
    <t>0514</t>
  </si>
  <si>
    <t>Osteotomy: Sternum: Repair of pectus excavatum</t>
  </si>
  <si>
    <t>0515</t>
  </si>
  <si>
    <t>Osteotomy: Sternum: Repair of pectus carinatum</t>
  </si>
  <si>
    <t>0516</t>
  </si>
  <si>
    <t>Osteotomy: Pelvic</t>
  </si>
  <si>
    <t>0521</t>
  </si>
  <si>
    <t>Osteotomy: Femoral: Proximal</t>
  </si>
  <si>
    <t>0527</t>
  </si>
  <si>
    <t>Osteotomy: Knee region</t>
  </si>
  <si>
    <t>0528</t>
  </si>
  <si>
    <t>Osteotomy: Os Calcis (Dwyer operation)</t>
  </si>
  <si>
    <t>0530</t>
  </si>
  <si>
    <t>Osteotomy: Metacarpal and phalanx: Corrective for malunion or rotation</t>
  </si>
  <si>
    <t>0531</t>
  </si>
  <si>
    <t>Rotational osteotomy of tibia and fibula - stand alone procedure</t>
  </si>
  <si>
    <t>0532</t>
  </si>
  <si>
    <t>Osteotomy: Rotation osteotomy of the Radius, Ulna or Humerus</t>
  </si>
  <si>
    <t>0533</t>
  </si>
  <si>
    <t>Osteotomy: Single metatarsal</t>
  </si>
  <si>
    <t>0534</t>
  </si>
  <si>
    <t>Osteotomy: Multiple metatarsal osteotomies</t>
  </si>
  <si>
    <t>0539</t>
  </si>
  <si>
    <t>Needle Biopsy: Spine (no after-care) (modifier 0005 not applicable)</t>
  </si>
  <si>
    <t>0549</t>
  </si>
  <si>
    <t>Joint: Dislocation: Shoulder</t>
  </si>
  <si>
    <t>0552</t>
  </si>
  <si>
    <t>Joint: Dislocation: Wrist</t>
  </si>
  <si>
    <t>0553</t>
  </si>
  <si>
    <t>Joint: Dislocation: Perilunar trans-scaphoid fracture dislocation</t>
  </si>
  <si>
    <t>0565</t>
  </si>
  <si>
    <t>Joint: Dislocation: Ankle</t>
  </si>
  <si>
    <t>0578</t>
  </si>
  <si>
    <t>Operations for dislocations: Recurrent dislocation of shoulder</t>
  </si>
  <si>
    <t>0582</t>
  </si>
  <si>
    <t xml:space="preserve">Capsulotomy or arthrotomy or biopsy or drainage of joint: Small joint </t>
  </si>
  <si>
    <t>0583</t>
  </si>
  <si>
    <t xml:space="preserve">Capsulotomy or arthrotomy or biopsy or drainage of joint: Large joint </t>
  </si>
  <si>
    <t>0585</t>
  </si>
  <si>
    <t>Capsulectomy digital joint</t>
  </si>
  <si>
    <t>0597</t>
  </si>
  <si>
    <t>Arthrodesis: Shoulder</t>
  </si>
  <si>
    <t>0599</t>
  </si>
  <si>
    <t>Arthrodesis: Wrist</t>
  </si>
  <si>
    <t>0603</t>
  </si>
  <si>
    <t>Arthrodesis: Ankle</t>
  </si>
  <si>
    <t>0614</t>
  </si>
  <si>
    <t>Arthroplasty: Debridement large joints</t>
  </si>
  <si>
    <t>0615</t>
  </si>
  <si>
    <t>Arthroplasty: Excision medial or lateral end of clavicle</t>
  </si>
  <si>
    <t>0617</t>
  </si>
  <si>
    <t>Shoulder: Acromioplasty</t>
  </si>
  <si>
    <t>0619</t>
  </si>
  <si>
    <t>Shoulder: Partial replacement</t>
  </si>
  <si>
    <t>0620</t>
  </si>
  <si>
    <t>Shoulder: Total replacement</t>
  </si>
  <si>
    <t>0621</t>
  </si>
  <si>
    <t>Elbow: Excision head of radius</t>
  </si>
  <si>
    <t>0625</t>
  </si>
  <si>
    <t>Wrist: Excision distal end of ulna</t>
  </si>
  <si>
    <t>0626</t>
  </si>
  <si>
    <t>Wrist: Excision single bone</t>
  </si>
  <si>
    <t>0627</t>
  </si>
  <si>
    <t>Wrist: Excision proximal row</t>
  </si>
  <si>
    <t>0631</t>
  </si>
  <si>
    <t>Wrist: Total replacement</t>
  </si>
  <si>
    <t>0641</t>
  </si>
  <si>
    <t>Hip: Prosthetic replacement of femoral head</t>
  </si>
  <si>
    <t>0649</t>
  </si>
  <si>
    <t>Ankle: Total replacement</t>
  </si>
  <si>
    <t>0650</t>
  </si>
  <si>
    <t>Ankle: Astragalectomy</t>
  </si>
  <si>
    <t>0667</t>
  </si>
  <si>
    <t>Arthroscopy (excluding after-care) (modifiers 0005 and 0013 not applic</t>
  </si>
  <si>
    <t>0673</t>
  </si>
  <si>
    <t>Meniscectomy or operation for other internal derangement of knee</t>
  </si>
  <si>
    <t>0675</t>
  </si>
  <si>
    <t>Joint ligament reconstruction or suture: Ankle: Collateral</t>
  </si>
  <si>
    <t>0677</t>
  </si>
  <si>
    <t>Joint ligament reconstruction or suture: Knee: Collateral</t>
  </si>
  <si>
    <t>0678</t>
  </si>
  <si>
    <t>Joint ligament reconstruction or suture: Knee: Cruciate</t>
  </si>
  <si>
    <t>0679</t>
  </si>
  <si>
    <t>Joint ligament reconstruction or suture: Ligament augmentation procedu</t>
  </si>
  <si>
    <t>0680</t>
  </si>
  <si>
    <t>Joint ligament reconstruction or suture: Digital joint ligament</t>
  </si>
  <si>
    <t>0682</t>
  </si>
  <si>
    <t>Amputation: Fore-quarter amputation</t>
  </si>
  <si>
    <t>0683</t>
  </si>
  <si>
    <t>Amputation: Through shoulder</t>
  </si>
  <si>
    <t>0685</t>
  </si>
  <si>
    <t>Amputation: Upper arm or fore-arm</t>
  </si>
  <si>
    <t>0687</t>
  </si>
  <si>
    <t>Partial amputation of the hand: One ray</t>
  </si>
  <si>
    <t>0691</t>
  </si>
  <si>
    <t>Amputation: Whole or part of finger</t>
  </si>
  <si>
    <t>0693</t>
  </si>
  <si>
    <t>Hindquarter amputation</t>
  </si>
  <si>
    <t>0695</t>
  </si>
  <si>
    <t>Amputation: Through hip joint region</t>
  </si>
  <si>
    <t>0697</t>
  </si>
  <si>
    <t>Amputation: Through thigh</t>
  </si>
  <si>
    <t>0699</t>
  </si>
  <si>
    <t>Amputation: Below knee, through knee or Syme</t>
  </si>
  <si>
    <t>0701</t>
  </si>
  <si>
    <t>Amputation: Trans-metatarsal or trans-tarsal</t>
  </si>
  <si>
    <t>0703</t>
  </si>
  <si>
    <t>Amputation: Foot: One ray</t>
  </si>
  <si>
    <t>0705</t>
  </si>
  <si>
    <t>Amputation: Toe</t>
  </si>
  <si>
    <t>0706</t>
  </si>
  <si>
    <t>Post-amputation reconstruction: Skin flap taken from a site remote fro</t>
  </si>
  <si>
    <t>0707</t>
  </si>
  <si>
    <t>Post-amputation reconstruction: Krukenberg reconstruction</t>
  </si>
  <si>
    <t>0709</t>
  </si>
  <si>
    <t>Post-amputation reconstruction: Metacarpal transfer</t>
  </si>
  <si>
    <t>0711</t>
  </si>
  <si>
    <t>Post-amputation reconstruction: Pollicisation of the finger (to includ</t>
  </si>
  <si>
    <t>0712</t>
  </si>
  <si>
    <t>Post-amputation reconstruction: Toe to thumb transfer</t>
  </si>
  <si>
    <t>0727</t>
  </si>
  <si>
    <t>Cranial reflex study (both early and late responses) supra occulofacia</t>
  </si>
  <si>
    <t>0728</t>
  </si>
  <si>
    <t>0745</t>
  </si>
  <si>
    <t>Muscle and tendon repair: Biceps humeri</t>
  </si>
  <si>
    <t>0746</t>
  </si>
  <si>
    <t>Muscle and tendon repair: Removal of calcification in Rotator cuff</t>
  </si>
  <si>
    <t>0747</t>
  </si>
  <si>
    <t>Muscle and tendon repair: Rotator cuff</t>
  </si>
  <si>
    <t>0748</t>
  </si>
  <si>
    <t>Muscle and tendon repair: Debridement rotator cuff</t>
  </si>
  <si>
    <t>0749</t>
  </si>
  <si>
    <t>Muscle and tendon repair: Scapulopexy - stand alone procedure</t>
  </si>
  <si>
    <t>0755</t>
  </si>
  <si>
    <t>Muscle and tendon repair: Infrapatellar of quadriceps tendon</t>
  </si>
  <si>
    <t>0757</t>
  </si>
  <si>
    <t>Muscle and tendon repair: Achilles tendon repair</t>
  </si>
  <si>
    <t>0759</t>
  </si>
  <si>
    <t>Muscle and tendon repair: Other single tendon</t>
  </si>
  <si>
    <t>0763</t>
  </si>
  <si>
    <t>Muscle and tendon repair: Tendon or ligament injection</t>
  </si>
  <si>
    <t>0774</t>
  </si>
  <si>
    <t>Repair of Boutonniere deformity or Mallet finger with graft</t>
  </si>
  <si>
    <t>0777</t>
  </si>
  <si>
    <t>Tendon graft: Finger: Flexor</t>
  </si>
  <si>
    <t>0779</t>
  </si>
  <si>
    <t>Tendon graft: Finger: Extensor</t>
  </si>
  <si>
    <t>0782</t>
  </si>
  <si>
    <t>Carpal tunnel syndrome</t>
  </si>
  <si>
    <t>0784</t>
  </si>
  <si>
    <t>Trigger finger</t>
  </si>
  <si>
    <t>0787</t>
  </si>
  <si>
    <t>Extensor tendon freeing operation following graft or suture in finger,</t>
  </si>
  <si>
    <t>0788</t>
  </si>
  <si>
    <t>Intrinsic tendon release per finger</t>
  </si>
  <si>
    <t>0803</t>
  </si>
  <si>
    <t>Hand tendons: Single tendon transfer (first)</t>
  </si>
  <si>
    <t>0809</t>
  </si>
  <si>
    <t>Hand tendons: Substitution for intrinsic paralysis of hand</t>
  </si>
  <si>
    <t>0811</t>
  </si>
  <si>
    <t>Hand tendons: Opponens tendon transfer (including obtaining of graft)</t>
  </si>
  <si>
    <t>0886</t>
  </si>
  <si>
    <t>Late removal of infected or not infected total joint replacement prost</t>
  </si>
  <si>
    <t>0891</t>
  </si>
  <si>
    <t>Turnbuckle cast for scoliosis (excluding after-care)</t>
  </si>
  <si>
    <t>0893</t>
  </si>
  <si>
    <t>Adjustment or repair of turnbuckle cast for scoliosis (excluding after</t>
  </si>
  <si>
    <t>0906</t>
  </si>
  <si>
    <t>Arthrodesis Hallux</t>
  </si>
  <si>
    <t>0907</t>
  </si>
  <si>
    <t>Silver bunionectomy or similar for Hallux Valgus</t>
  </si>
  <si>
    <t>0909</t>
  </si>
  <si>
    <t>Excision arthroplasty</t>
  </si>
  <si>
    <t>0910</t>
  </si>
  <si>
    <t>Cheilectomy or metatarsophangeal implant Hallux</t>
  </si>
  <si>
    <t>0911</t>
  </si>
  <si>
    <t>Metatarsal osteotomy or Lapidus or similar or Chevron - stand alone pr</t>
  </si>
  <si>
    <t>0912</t>
  </si>
  <si>
    <t>Replantation of amputated upper limb proximal to wrist joint</t>
  </si>
  <si>
    <t>0927</t>
  </si>
  <si>
    <t>Excision of one vertebral body, for a lesion within the body (no decom</t>
  </si>
  <si>
    <t>0928</t>
  </si>
  <si>
    <t xml:space="preserve">Excision of each additional vertebral segment for a lesion within the </t>
  </si>
  <si>
    <t>0929</t>
  </si>
  <si>
    <t>Manipulation of spine under general anaesthetic: (no after-care) (modi</t>
  </si>
  <si>
    <t>0930</t>
  </si>
  <si>
    <t>Posterior osteotomy of spine: One vertebral segment</t>
  </si>
  <si>
    <t>0931</t>
  </si>
  <si>
    <t>Posterior spinal fusion: One level</t>
  </si>
  <si>
    <t>0932</t>
  </si>
  <si>
    <t>Posterior osteotomy of spine: Each additional vertebral segment</t>
  </si>
  <si>
    <t>0933</t>
  </si>
  <si>
    <t>Anterior spinal osteotomy with disc removal: One vertebral segment</t>
  </si>
  <si>
    <t>0936</t>
  </si>
  <si>
    <t>Anterior spinal osteotomy with disc removal: Each additional vertebral</t>
  </si>
  <si>
    <t>0938</t>
  </si>
  <si>
    <t>Anterior fusion base of skull to C2</t>
  </si>
  <si>
    <t>0939</t>
  </si>
  <si>
    <t xml:space="preserve">Trans-abdominal anterior exposure of the spine for spinal fusion only </t>
  </si>
  <si>
    <t>0940</t>
  </si>
  <si>
    <t>Trans-thoracic anterior exposure of the spine if done by a second surg</t>
  </si>
  <si>
    <t>0943</t>
  </si>
  <si>
    <t>Laminectomy with decompression of nerve roots and disc removal: One le</t>
  </si>
  <si>
    <t>0946</t>
  </si>
  <si>
    <t>Posterior spinal fusion: Each additional level</t>
  </si>
  <si>
    <t>0962</t>
  </si>
  <si>
    <t>Posterior segmental instrumentation: 2 to 6 vertebrae</t>
  </si>
  <si>
    <t>0963</t>
  </si>
  <si>
    <t>Antero-lateral decompression of spinal cord or anterior debridement</t>
  </si>
  <si>
    <t>0964</t>
  </si>
  <si>
    <t>Posterior segmental instrumentation: 7 to 12 vertebrae</t>
  </si>
  <si>
    <t>0966</t>
  </si>
  <si>
    <t>Posterior segmental instrumentation:13 or more vertebrae</t>
  </si>
  <si>
    <t>0968</t>
  </si>
  <si>
    <t>Anterior instrumentation: 2 to 3 vertebrae</t>
  </si>
  <si>
    <t>0970</t>
  </si>
  <si>
    <t>Anterior instrumentation: 4 to 7 vertebrae</t>
  </si>
  <si>
    <t>0972</t>
  </si>
  <si>
    <t>Anterior instrumentation: 8 or more vertebrae</t>
  </si>
  <si>
    <t>0987</t>
  </si>
  <si>
    <t>Repair of orbital floor (blowout fracture)</t>
  </si>
  <si>
    <t>0989</t>
  </si>
  <si>
    <t xml:space="preserve">Open reduction and fixation of central mid-third facial fracture with </t>
  </si>
  <si>
    <t>0990</t>
  </si>
  <si>
    <t>0991</t>
  </si>
  <si>
    <t>0992</t>
  </si>
  <si>
    <t>0993</t>
  </si>
  <si>
    <t>0994</t>
  </si>
  <si>
    <t>0995</t>
  </si>
  <si>
    <t>0997</t>
  </si>
  <si>
    <t>Mandible: Fractured nose and zygoma: Open reduction and fixation</t>
  </si>
  <si>
    <t>0999</t>
  </si>
  <si>
    <t>Mandible: Fractured nose and zygoma: Closed reduction by inter-maxilla</t>
  </si>
  <si>
    <t>1003</t>
  </si>
  <si>
    <t>Manipulation: Immobilisation and follow-up of fractured nose</t>
  </si>
  <si>
    <t>1007</t>
  </si>
  <si>
    <t>Mandibulectomy</t>
  </si>
  <si>
    <t>1009</t>
  </si>
  <si>
    <t>Maxillectomy</t>
  </si>
  <si>
    <t>1011</t>
  </si>
  <si>
    <t>Bone graft to mandible</t>
  </si>
  <si>
    <t>1015</t>
  </si>
  <si>
    <t>Fracture of arch of zygoma with displacement requiring operative manip</t>
  </si>
  <si>
    <t>1017</t>
  </si>
  <si>
    <t>1020</t>
  </si>
  <si>
    <t>Repair of perforated septum: Any method</t>
  </si>
  <si>
    <t>1022</t>
  </si>
  <si>
    <t>Functional reconstruction of nasal septum</t>
  </si>
  <si>
    <t>1024</t>
  </si>
  <si>
    <t>Insertion of silastic obturator into nasal septum perforation (excludi</t>
  </si>
  <si>
    <t>1025</t>
  </si>
  <si>
    <t>Intranasal antrostomy (modifier 0005 to apply to opposite side of nose</t>
  </si>
  <si>
    <t>1029</t>
  </si>
  <si>
    <t>Turbinectomy (modifier 0005 to apply to opposite side of nose)</t>
  </si>
  <si>
    <t>1033</t>
  </si>
  <si>
    <t>Removal of multiple polyps in hospital under general anaesthetic</t>
  </si>
  <si>
    <t>1034</t>
  </si>
  <si>
    <t>Autogenous nasal bone transplant: Bone removal included</t>
  </si>
  <si>
    <t>1035</t>
  </si>
  <si>
    <t>Functional endoscopic sinus surgery: Unilateral</t>
  </si>
  <si>
    <t>1036</t>
  </si>
  <si>
    <t>Functional endoscopic sinus surgery: Bilateral</t>
  </si>
  <si>
    <t>1039</t>
  </si>
  <si>
    <t>Diathermy to nose or pharynx exclusive of consultation fee, uni- or bi</t>
  </si>
  <si>
    <t>1045</t>
  </si>
  <si>
    <t>Ligation anterior ethmoidal artery</t>
  </si>
  <si>
    <t>1048</t>
  </si>
  <si>
    <t>Endonasal frontal sinus drainage, with or without removal of tissue (m</t>
  </si>
  <si>
    <t>1049</t>
  </si>
  <si>
    <t>Ligation internal maxillary artery</t>
  </si>
  <si>
    <t>1050</t>
  </si>
  <si>
    <t>Vidian neurectomy (transantral or transnasal)</t>
  </si>
  <si>
    <t>1051</t>
  </si>
  <si>
    <t>Removal nasopharyngeal fibroma</t>
  </si>
  <si>
    <t>1052</t>
  </si>
  <si>
    <t>Instrumental examination of the nasopharynx including biopsy under gen</t>
  </si>
  <si>
    <t>1053</t>
  </si>
  <si>
    <t>Frontal sinus drainage, trephine operation</t>
  </si>
  <si>
    <t>1056</t>
  </si>
  <si>
    <t>Anterior cranial fossa, craniofacial approach, extradural, including l</t>
  </si>
  <si>
    <t>1058</t>
  </si>
  <si>
    <t>Sublabial transseptal sphenoidotomy</t>
  </si>
  <si>
    <t>1060</t>
  </si>
  <si>
    <t>Obliteration of frontal sinus</t>
  </si>
  <si>
    <t>1062</t>
  </si>
  <si>
    <t>Excision nasolabial cyst</t>
  </si>
  <si>
    <t>1065</t>
  </si>
  <si>
    <t>Removal of foreign body from nose: Under general anaesthetic</t>
  </si>
  <si>
    <t>1079</t>
  </si>
  <si>
    <t>Septum abscess: Under general anaesthetic</t>
  </si>
  <si>
    <t>1083</t>
  </si>
  <si>
    <t>Choanal atresia: Intranasal approach</t>
  </si>
  <si>
    <t>1084</t>
  </si>
  <si>
    <t>Choanal atresia: Transpalatal approach</t>
  </si>
  <si>
    <t>1085</t>
  </si>
  <si>
    <t>Total reconstruction of the nose: Including reconstruction of nasal se</t>
  </si>
  <si>
    <t>1087</t>
  </si>
  <si>
    <t>Sub-total reconstruction consisting of any two of the following: Septu</t>
  </si>
  <si>
    <t>1089</t>
  </si>
  <si>
    <t>Forehead rhinoplasty (all stages): Total</t>
  </si>
  <si>
    <t>1091</t>
  </si>
  <si>
    <t>Forehead rhinoplasty (all stages): Partial</t>
  </si>
  <si>
    <t>1093</t>
  </si>
  <si>
    <t>Forehead rhinoplasty (all stages): Rhinophyma without skin graft</t>
  </si>
  <si>
    <t>1095</t>
  </si>
  <si>
    <t>Full nasal reconstruction for secondary cleft lip deformity</t>
  </si>
  <si>
    <t>1097</t>
  </si>
  <si>
    <t>Partial nasal reconstruction for cleft lip deformity</t>
  </si>
  <si>
    <t>1101</t>
  </si>
  <si>
    <t>Tonsillectomy (dissection of the tonsils)</t>
  </si>
  <si>
    <t>1102</t>
  </si>
  <si>
    <t>Laser tonsillectomy</t>
  </si>
  <si>
    <t>1105</t>
  </si>
  <si>
    <t>Removal of adenoids</t>
  </si>
  <si>
    <t>1106</t>
  </si>
  <si>
    <t>Laser assisted functional reconstruction of palate uvula: In the rooms</t>
  </si>
  <si>
    <t>1108</t>
  </si>
  <si>
    <t>1111</t>
  </si>
  <si>
    <t>Post tonsillectomy or adenoidectomy haemorrhage</t>
  </si>
  <si>
    <t>1112</t>
  </si>
  <si>
    <t>Pharyngeal pouch operation</t>
  </si>
  <si>
    <t>1113</t>
  </si>
  <si>
    <t>Retropharyngeal abscess: Internal approach</t>
  </si>
  <si>
    <t>1115</t>
  </si>
  <si>
    <t>Retropharyngeal abscess: External approach</t>
  </si>
  <si>
    <t>1116</t>
  </si>
  <si>
    <t>Functional reconstruction of palate and uvula</t>
  </si>
  <si>
    <t>1119</t>
  </si>
  <si>
    <t>Laryngectomy without block dissection of the neck</t>
  </si>
  <si>
    <t>1120</t>
  </si>
  <si>
    <t>Intubation, endotracheal, emergency procedure</t>
  </si>
  <si>
    <t>1125</t>
  </si>
  <si>
    <t>Operative laryngoscopy with excision of tumour and/or stripping of voc</t>
  </si>
  <si>
    <t>1126</t>
  </si>
  <si>
    <t>Post laryngectomy for voice restoration</t>
  </si>
  <si>
    <t>1129</t>
  </si>
  <si>
    <t>External laryngeal operation e.g. laryngeal stenosis, laryngocele, abd</t>
  </si>
  <si>
    <t>1130</t>
  </si>
  <si>
    <t>Direct laryngoscopy: Diagnostic laryngoscopy including biopsy (also to</t>
  </si>
  <si>
    <t>1131</t>
  </si>
  <si>
    <t>Direct laryngoscopy plus foreign body removal</t>
  </si>
  <si>
    <t>1132</t>
  </si>
  <si>
    <t>Bronchoscopy: Diagnostic bronchoscopy</t>
  </si>
  <si>
    <t>1133</t>
  </si>
  <si>
    <t>Bronchoscopy: Diagnostic bronchoscopy with removal of foreign body</t>
  </si>
  <si>
    <t>1134</t>
  </si>
  <si>
    <t>Bronchoscopy: Bronchoscopy with laser</t>
  </si>
  <si>
    <t>1138</t>
  </si>
  <si>
    <t>Thoracotomy: For broncho-pleural fistula (including ruptured bronchus,</t>
  </si>
  <si>
    <t>1139</t>
  </si>
  <si>
    <t>Pleural needle biopsy (no after-care) (modifier 0005 not applicable)</t>
  </si>
  <si>
    <t>1141</t>
  </si>
  <si>
    <t>Insertion of intercostal catheter (under water drainage)</t>
  </si>
  <si>
    <t>1142</t>
  </si>
  <si>
    <t>Intra-pleural block</t>
  </si>
  <si>
    <t>1151</t>
  </si>
  <si>
    <t>Decortication of lung</t>
  </si>
  <si>
    <t>1155</t>
  </si>
  <si>
    <t>Needle biopsy lung: (no after-care) (modifier 0005 not applicable)</t>
  </si>
  <si>
    <t>1157</t>
  </si>
  <si>
    <t>Pneumonectomy</t>
  </si>
  <si>
    <t>1159</t>
  </si>
  <si>
    <t>Pulmonary lobectomy</t>
  </si>
  <si>
    <t>1161</t>
  </si>
  <si>
    <t>Segmental lobectomy</t>
  </si>
  <si>
    <t>1163</t>
  </si>
  <si>
    <t>Excision tracheal stenosis: Cervical</t>
  </si>
  <si>
    <t>1164</t>
  </si>
  <si>
    <t>Excision tracheal stenosis: Intra thoracic</t>
  </si>
  <si>
    <t>1167</t>
  </si>
  <si>
    <t>Thoracoplasty associated with lung resection or done by the same surge</t>
  </si>
  <si>
    <t>1171</t>
  </si>
  <si>
    <t>Drainage empyema (including six weeks after treatment)</t>
  </si>
  <si>
    <t>1173</t>
  </si>
  <si>
    <t>Drainage of lung abscess (including six weeks after treatment)</t>
  </si>
  <si>
    <t>1175</t>
  </si>
  <si>
    <t>Thoracotomy (limited): For lung or pleural biopsy</t>
  </si>
  <si>
    <t>1179</t>
  </si>
  <si>
    <t>Thoracoscopy</t>
  </si>
  <si>
    <t>1181</t>
  </si>
  <si>
    <t>Lung transplant: Unilateral</t>
  </si>
  <si>
    <t>1182</t>
  </si>
  <si>
    <t>Harvesting donor lung: Unilateral</t>
  </si>
  <si>
    <t>1197</t>
  </si>
  <si>
    <t>Compliance and resistance, using oesophageal balloon</t>
  </si>
  <si>
    <t>1202</t>
  </si>
  <si>
    <t>Insertion of central venous catheter via peripheral vein in neonates</t>
  </si>
  <si>
    <t>1215</t>
  </si>
  <si>
    <t>Insertion of arterial pressure cannula</t>
  </si>
  <si>
    <t>1216</t>
  </si>
  <si>
    <t>Insertion of Swan Ganz catheter for haemodynamics monitoring</t>
  </si>
  <si>
    <t>1217</t>
  </si>
  <si>
    <t>Insertion of central venous line via peripheral vein</t>
  </si>
  <si>
    <t>1218</t>
  </si>
  <si>
    <t>Insertion of central venous line via subclavian or jugular veins</t>
  </si>
  <si>
    <t>1220</t>
  </si>
  <si>
    <t>Patient-controlled analgesic pump: Hire fee: Per 24 hours (Cassette to</t>
  </si>
  <si>
    <t>1221</t>
  </si>
  <si>
    <t>Professional fee for managing a patient-controlled analgesic pump: Fir</t>
  </si>
  <si>
    <t>1222</t>
  </si>
  <si>
    <t>Mediastinal tumours</t>
  </si>
  <si>
    <t>1223</t>
  </si>
  <si>
    <t>Mediastinoscopy</t>
  </si>
  <si>
    <t>1224</t>
  </si>
  <si>
    <t>Mediastinotomy</t>
  </si>
  <si>
    <t>1225</t>
  </si>
  <si>
    <t>Excision of malignant chest wall tumours involving sternum and multipl</t>
  </si>
  <si>
    <t>1226</t>
  </si>
  <si>
    <t>Removal of single rib with a lesion</t>
  </si>
  <si>
    <t>1245</t>
  </si>
  <si>
    <t>Angiography cerebral: First two series</t>
  </si>
  <si>
    <t>1248</t>
  </si>
  <si>
    <t>Paracentesis of pericardium</t>
  </si>
  <si>
    <t>1249</t>
  </si>
  <si>
    <t>Right and left cardiac catheterisation without coronary angiography (w</t>
  </si>
  <si>
    <t>1252</t>
  </si>
  <si>
    <t xml:space="preserve">Left heart catheterisation with coronary angiography (with or without </t>
  </si>
  <si>
    <t>1253</t>
  </si>
  <si>
    <t>Right heart catheterisation (with or without biopsy)</t>
  </si>
  <si>
    <t>1254</t>
  </si>
  <si>
    <t>Catheterisation of coronary artery bypass grafts and/or internal mamma</t>
  </si>
  <si>
    <t>1258</t>
  </si>
  <si>
    <t>Pacemaker: Permanent - single chamber</t>
  </si>
  <si>
    <t>1259</t>
  </si>
  <si>
    <t>Pacemaker: Permanent - dual chamber</t>
  </si>
  <si>
    <t>1263</t>
  </si>
  <si>
    <t>Insertion transvenous implantable defibrillator</t>
  </si>
  <si>
    <t>1264</t>
  </si>
  <si>
    <t>Test for implantable transvenous defibrillator</t>
  </si>
  <si>
    <t>1265</t>
  </si>
  <si>
    <t>Renewal of pacemaker unit only, team fee</t>
  </si>
  <si>
    <t>1267</t>
  </si>
  <si>
    <t>Repositioning of catheter electrode</t>
  </si>
  <si>
    <t>1273</t>
  </si>
  <si>
    <t>Insertion of temporary pacemaker (modifier 0005 not applicable)</t>
  </si>
  <si>
    <t>1276</t>
  </si>
  <si>
    <t>Percutaneous transluminal angioplasty: First cardiologist: Single lesi</t>
  </si>
  <si>
    <t>1277</t>
  </si>
  <si>
    <t>Percutaneous transluminal angioplasty: Second cardiologist: Single les</t>
  </si>
  <si>
    <t>1278</t>
  </si>
  <si>
    <t>Percutaneous transluminal angioplasty: First cardiologist: Second lesi</t>
  </si>
  <si>
    <t>1279</t>
  </si>
  <si>
    <t>Percutaneous transluminal angioplasty: Second cardiologist: Second les</t>
  </si>
  <si>
    <t>1280</t>
  </si>
  <si>
    <t>Percutaneous transluminal angioplasty: First cardiologist: Third or su</t>
  </si>
  <si>
    <t>1281</t>
  </si>
  <si>
    <t>Percutaneous transluminal angioplasty: Second cardiologist: Third or s</t>
  </si>
  <si>
    <t>1282</t>
  </si>
  <si>
    <t>Use of balloon procedures including: First cardiologist: Atrial septos</t>
  </si>
  <si>
    <t>1284</t>
  </si>
  <si>
    <t>Atherectomy: Single lesion: First cardiologist</t>
  </si>
  <si>
    <t>1285</t>
  </si>
  <si>
    <t>Atherectomy: Single lesion: Second cardiologist</t>
  </si>
  <si>
    <t>1286</t>
  </si>
  <si>
    <t>Insertion of intravascular stent: First cardiologist</t>
  </si>
  <si>
    <t>1287</t>
  </si>
  <si>
    <t>Insertion of intravascular stent: Second cardiologist</t>
  </si>
  <si>
    <t>1288</t>
  </si>
  <si>
    <t>Cardiac catheterisation for congenital heart disease: All ages above 1</t>
  </si>
  <si>
    <t>1289</t>
  </si>
  <si>
    <t>Paediatric cardiac catheterisation: Infants below the age of one year</t>
  </si>
  <si>
    <t>1290</t>
  </si>
  <si>
    <t>Use of balloon procedures including: First paediatric cardiologist (33</t>
  </si>
  <si>
    <t>1297</t>
  </si>
  <si>
    <t>Coarctation of aorta</t>
  </si>
  <si>
    <t>1301</t>
  </si>
  <si>
    <t>Mitral valvotomy: Closed heart technique</t>
  </si>
  <si>
    <t>1302</t>
  </si>
  <si>
    <t>Heart transplant</t>
  </si>
  <si>
    <t>1303</t>
  </si>
  <si>
    <t>Harvesting donor heart</t>
  </si>
  <si>
    <t>1305</t>
  </si>
  <si>
    <t>Operative implantation of cardiac pacemaker by thoracotomy</t>
  </si>
  <si>
    <t>1307</t>
  </si>
  <si>
    <t>Re-exploration after cardiac surgery</t>
  </si>
  <si>
    <t>1308</t>
  </si>
  <si>
    <t>Heart and lung transplant</t>
  </si>
  <si>
    <t>1309</t>
  </si>
  <si>
    <t>Harvesting donor heart and lungs</t>
  </si>
  <si>
    <t>1311</t>
  </si>
  <si>
    <t>Pericardial drainage</t>
  </si>
  <si>
    <t>1320</t>
  </si>
  <si>
    <t>Repeat open heart surgery (additional fee above procedure fee)</t>
  </si>
  <si>
    <t>1321</t>
  </si>
  <si>
    <t>Stand-by fee for coronary angioplasty</t>
  </si>
  <si>
    <t>1325</t>
  </si>
  <si>
    <t>Atrial septal defect: Sinus venosus or osteum primum</t>
  </si>
  <si>
    <t>1331</t>
  </si>
  <si>
    <t>Transposition of large vessels (venous repair)</t>
  </si>
  <si>
    <t>1332</t>
  </si>
  <si>
    <t>Transposition of great arteries (arterial repair)</t>
  </si>
  <si>
    <t>1334</t>
  </si>
  <si>
    <t>Aorto-coronary bypass operation as a MidCab procedure (thoracotomy wit</t>
  </si>
  <si>
    <t>1335</t>
  </si>
  <si>
    <t>Total anomalous venous drainage</t>
  </si>
  <si>
    <t>1336</t>
  </si>
  <si>
    <t xml:space="preserve">Aorto-coronary bypass operation as a OpCab procedure (sternotomy with </t>
  </si>
  <si>
    <t>1337</t>
  </si>
  <si>
    <t>Creation of atrial septal defect by thoracotomy with or without cardia</t>
  </si>
  <si>
    <t>1339</t>
  </si>
  <si>
    <t>Mitral valve replacement</t>
  </si>
  <si>
    <t>1340</t>
  </si>
  <si>
    <t>Mitral valvuloplasty</t>
  </si>
  <si>
    <t>1341</t>
  </si>
  <si>
    <t>Aortic valve replacement</t>
  </si>
  <si>
    <t>1343</t>
  </si>
  <si>
    <t>Double valve replacement</t>
  </si>
  <si>
    <t>1344</t>
  </si>
  <si>
    <t>Acute dissecting aneurysm repair</t>
  </si>
  <si>
    <t>1345</t>
  </si>
  <si>
    <t>Aortic arch aneurysm repair utilising deep hypothermal and circulatory</t>
  </si>
  <si>
    <t>1348</t>
  </si>
  <si>
    <t>Aorta-coronary bypass operation (including interpretation of angiogram</t>
  </si>
  <si>
    <t>1349</t>
  </si>
  <si>
    <t>1350</t>
  </si>
  <si>
    <t>1351</t>
  </si>
  <si>
    <t xml:space="preserve">Aorta-coronary bypass operation with valve replacement or excision of </t>
  </si>
  <si>
    <t>1352</t>
  </si>
  <si>
    <t>Cardiac aneurysm</t>
  </si>
  <si>
    <t>1353</t>
  </si>
  <si>
    <t>Ascending/descending thoracic aortic aneurysm repair</t>
  </si>
  <si>
    <t>1355</t>
  </si>
  <si>
    <t>Cardiac tumour</t>
  </si>
  <si>
    <t>1356</t>
  </si>
  <si>
    <t xml:space="preserve">Insertion and removal of intra-aortic balloon pump (modifier 0005 not </t>
  </si>
  <si>
    <t>1372</t>
  </si>
  <si>
    <t>Abdominal aorta and iliac artery: Unruptured</t>
  </si>
  <si>
    <t>1373</t>
  </si>
  <si>
    <t>Abdominal aorta and iliac artery: Ruptured</t>
  </si>
  <si>
    <t>1375</t>
  </si>
  <si>
    <t>Grafting and/or thrombo-endarterectomy for thrombosis</t>
  </si>
  <si>
    <t>1376</t>
  </si>
  <si>
    <t>Aorta bi-femoral graft, including proximal and distal endarterectomy a</t>
  </si>
  <si>
    <t>1379</t>
  </si>
  <si>
    <t>Prosthetic grafting and/or thrombo-endarterectomy</t>
  </si>
  <si>
    <t>1387</t>
  </si>
  <si>
    <t>Grafting vein: Vein grafting proximal to knee joint</t>
  </si>
  <si>
    <t>1388</t>
  </si>
  <si>
    <t>Grafting vein: Distal to knee joint</t>
  </si>
  <si>
    <t>1389</t>
  </si>
  <si>
    <t>Grafting vein: Endarterectomy when not part of another specified proce</t>
  </si>
  <si>
    <t>1390</t>
  </si>
  <si>
    <t>Grafting vein: Carotid endarterectomy</t>
  </si>
  <si>
    <t>1393</t>
  </si>
  <si>
    <t>Embolectomy: Peripheral embolectomy transfemoral</t>
  </si>
  <si>
    <t>1395</t>
  </si>
  <si>
    <t>Miscellaneous arterial procedures: Arterial suture: Trauma</t>
  </si>
  <si>
    <t>1396</t>
  </si>
  <si>
    <t>Suture major blood vessel - trauma (innominate, carotid, vertebral, su</t>
  </si>
  <si>
    <t>1399</t>
  </si>
  <si>
    <t>Distal tibial (ankle region)</t>
  </si>
  <si>
    <t>1401</t>
  </si>
  <si>
    <t>Femoro-femoral</t>
  </si>
  <si>
    <t>1402</t>
  </si>
  <si>
    <t>Carotid-subclavian</t>
  </si>
  <si>
    <t>1403</t>
  </si>
  <si>
    <t>Axillo-femoral: (Bifemoral + 50%)</t>
  </si>
  <si>
    <t>1407</t>
  </si>
  <si>
    <t>Ligation of saphenous vein</t>
  </si>
  <si>
    <t>1408</t>
  </si>
  <si>
    <t>Placement of Hickman catheter or similar</t>
  </si>
  <si>
    <t>1413</t>
  </si>
  <si>
    <t>Combined procedure for varicose veins: Ligation of saphenous vein stri</t>
  </si>
  <si>
    <t>1415</t>
  </si>
  <si>
    <t>1417</t>
  </si>
  <si>
    <t>Extensive sub-fascial ligation of perforating veins</t>
  </si>
  <si>
    <t>1419</t>
  </si>
  <si>
    <t>Lesser varicose vein procedures</t>
  </si>
  <si>
    <t>1427</t>
  </si>
  <si>
    <t>Thrombectomy: IIlio-femoral</t>
  </si>
  <si>
    <t>1429</t>
  </si>
  <si>
    <t>Porto-caval shunt</t>
  </si>
  <si>
    <t>1435</t>
  </si>
  <si>
    <t>Splenectomy (in all cases)</t>
  </si>
  <si>
    <t>1455</t>
  </si>
  <si>
    <t>Retroperitoneal lymph adenectomy including pelvic, aortic and renal no</t>
  </si>
  <si>
    <t>1459</t>
  </si>
  <si>
    <t>Staging laparotomy for lymphoma (including splenectomy</t>
  </si>
  <si>
    <t>1461</t>
  </si>
  <si>
    <t>All dental procedures</t>
  </si>
  <si>
    <t>1463</t>
  </si>
  <si>
    <t>Surgical biopsy of tongue or palate: Under general anaesthetic</t>
  </si>
  <si>
    <t>1465</t>
  </si>
  <si>
    <t>Surgical biopsy of tongue or palate: Under local anaesthetic</t>
  </si>
  <si>
    <t>1469</t>
  </si>
  <si>
    <t>Local excision of mucosal lesion of oral cavity</t>
  </si>
  <si>
    <t>1471</t>
  </si>
  <si>
    <t xml:space="preserve">Resection of malignant lesion of buccal mucosa including radical neck </t>
  </si>
  <si>
    <t>1475</t>
  </si>
  <si>
    <t>Cleft palate: Repair primary deformity with or without pharyngoplasty</t>
  </si>
  <si>
    <t>1477</t>
  </si>
  <si>
    <t>Cleft palate: Secondary repair</t>
  </si>
  <si>
    <t>1478</t>
  </si>
  <si>
    <t>Velopharyngeal reconstruction with myoneuro-vascular transfer (dynamic</t>
  </si>
  <si>
    <t>1479</t>
  </si>
  <si>
    <t xml:space="preserve">Velopharyngeal reconstruction with or without pharyngeal flap (static </t>
  </si>
  <si>
    <t>1480</t>
  </si>
  <si>
    <t>Repair of oronasal fistula (large) e.g. distant flap</t>
  </si>
  <si>
    <t>1481</t>
  </si>
  <si>
    <t>Repair of oronasal fistula (small) e.g. trapdoor: One stage or first s</t>
  </si>
  <si>
    <t>1482</t>
  </si>
  <si>
    <t>Repair of oronasal fistula (large): Second stage</t>
  </si>
  <si>
    <t>1483</t>
  </si>
  <si>
    <t>Alveolar periosteal or other flaps for arch closure</t>
  </si>
  <si>
    <t>1484</t>
  </si>
  <si>
    <t>Cleft lip repair: Lip adhesion (cleft lip)</t>
  </si>
  <si>
    <t>1485</t>
  </si>
  <si>
    <t>Local excision of benign lesion of lip</t>
  </si>
  <si>
    <t>1486</t>
  </si>
  <si>
    <t>Closure of anterior nasal floor</t>
  </si>
  <si>
    <t>1489</t>
  </si>
  <si>
    <t>Cleft lip repair: Repair unilateral cleft lip (with muscle reconstruct</t>
  </si>
  <si>
    <t>1490</t>
  </si>
  <si>
    <t>Cleft lip repair: Bilateral cleft lip repair (with muscle reconstructi</t>
  </si>
  <si>
    <t>1491</t>
  </si>
  <si>
    <t>Cleft lip repair: Repair bilateral cleft lip (with muscle reconstructi</t>
  </si>
  <si>
    <t>1492</t>
  </si>
  <si>
    <t>Cleft lip repair: Bilateral cleft lip repair: Second stage</t>
  </si>
  <si>
    <t>1493</t>
  </si>
  <si>
    <t>Cleft lip repair: Total revision of secondary cleft lip deformities</t>
  </si>
  <si>
    <t>1494</t>
  </si>
  <si>
    <t>Cleft lip repair: Partial revision of secondary cleft lip deformity</t>
  </si>
  <si>
    <t>1505</t>
  </si>
  <si>
    <t>Partial glossectomy</t>
  </si>
  <si>
    <t>1507</t>
  </si>
  <si>
    <t>Local excision of lesion of tongue</t>
  </si>
  <si>
    <t>1509</t>
  </si>
  <si>
    <t>Wide excision of lesion of palate</t>
  </si>
  <si>
    <t>1511</t>
  </si>
  <si>
    <t>Radical resection of palate (including skin graft)</t>
  </si>
  <si>
    <t>1515</t>
  </si>
  <si>
    <t>Excision of sublingual salivary gland</t>
  </si>
  <si>
    <t>1517</t>
  </si>
  <si>
    <t>Excision of submandibular salivary gland</t>
  </si>
  <si>
    <t>1519</t>
  </si>
  <si>
    <t>Excision of submandibular salivary gland with suprahyoid dissection</t>
  </si>
  <si>
    <t>1521</t>
  </si>
  <si>
    <t>Excision of submandibular salivary gland: With radical neck dissection</t>
  </si>
  <si>
    <t>1523</t>
  </si>
  <si>
    <t>Local resection of parotid tumour</t>
  </si>
  <si>
    <t>1525</t>
  </si>
  <si>
    <t>Partial parotidectomy</t>
  </si>
  <si>
    <t>1526</t>
  </si>
  <si>
    <t>Total parotidectomy with preservation of facial nerve</t>
  </si>
  <si>
    <t>1527</t>
  </si>
  <si>
    <t>Total parotidectomy</t>
  </si>
  <si>
    <t>1529</t>
  </si>
  <si>
    <t>Parotidectomy: Extracapsular</t>
  </si>
  <si>
    <t>1531</t>
  </si>
  <si>
    <t>Drainage of parotid abscess</t>
  </si>
  <si>
    <t>1533</t>
  </si>
  <si>
    <t>Closure of salivary fistula</t>
  </si>
  <si>
    <t>1535</t>
  </si>
  <si>
    <t>Dilatation of salivary duct</t>
  </si>
  <si>
    <t>1537</t>
  </si>
  <si>
    <t>Operative removal of salivary calculus</t>
  </si>
  <si>
    <t>1539</t>
  </si>
  <si>
    <t>Salivary duct: Meatotomy</t>
  </si>
  <si>
    <t>1541</t>
  </si>
  <si>
    <t>Branchial cyst and/or fistula: Excision</t>
  </si>
  <si>
    <t>1543</t>
  </si>
  <si>
    <t>Excision of cystic hygroma</t>
  </si>
  <si>
    <t>1545</t>
  </si>
  <si>
    <t>Oesophagoscopy with rigid instrument: First and subsequent</t>
  </si>
  <si>
    <t>1549</t>
  </si>
  <si>
    <t>Oesophagoscopy with dilatation of stricture</t>
  </si>
  <si>
    <t>1550</t>
  </si>
  <si>
    <t>Oesophagoscopy with removal of foreign body</t>
  </si>
  <si>
    <t>1551</t>
  </si>
  <si>
    <t>Oesophagoscopy with insertion of indwelling oesophageal tube</t>
  </si>
  <si>
    <t>1552</t>
  </si>
  <si>
    <t>Injection and/or ligation of oesophageal varices (endoscopy inclusive)</t>
  </si>
  <si>
    <t>1553</t>
  </si>
  <si>
    <t>Subsequent injection and/or ligation of oesophageal varices (endoscopy</t>
  </si>
  <si>
    <t>1554</t>
  </si>
  <si>
    <t>Per-oral small bowel biopsy</t>
  </si>
  <si>
    <t>1555</t>
  </si>
  <si>
    <t>Repair of tracheal oesophageal fistula and oesophageal atresia</t>
  </si>
  <si>
    <t>1557</t>
  </si>
  <si>
    <t>Oesophageal dilatation</t>
  </si>
  <si>
    <t>1559</t>
  </si>
  <si>
    <t>Oesophagectomy: Two stage</t>
  </si>
  <si>
    <t>1560</t>
  </si>
  <si>
    <t>Oesophagectomy: Three stage</t>
  </si>
  <si>
    <t>1561</t>
  </si>
  <si>
    <t>Thoraco-abdominal oesophagogastrectomy</t>
  </si>
  <si>
    <t>1563</t>
  </si>
  <si>
    <t>Hiatus hernia and diaphragmatic hernia repair: With anti-reflux proced</t>
  </si>
  <si>
    <t>1565</t>
  </si>
  <si>
    <t>Hiatus hernia and diaphragmatic hernia repair: With Collis Nissen oeso</t>
  </si>
  <si>
    <t>1567</t>
  </si>
  <si>
    <t>Bochdalek hernia repair in newborn</t>
  </si>
  <si>
    <t>1568</t>
  </si>
  <si>
    <t>Hiatus hernia and diaphragmatic repair: Revision after previous repair</t>
  </si>
  <si>
    <t>1575</t>
  </si>
  <si>
    <t>Insertion of indwelling oesophageal tube by laparotomy</t>
  </si>
  <si>
    <t>1578</t>
  </si>
  <si>
    <t>Oesophageal motility (4 channel + pneumograph)</t>
  </si>
  <si>
    <t>1579</t>
  </si>
  <si>
    <t>Oesophageal substitution (without oesophagectomy) using colon, small b</t>
  </si>
  <si>
    <t>1580</t>
  </si>
  <si>
    <t>Oesophageal motility (6 Channel + pneumograph + pH pull-through)</t>
  </si>
  <si>
    <t>1581</t>
  </si>
  <si>
    <t>Removal of benign oesophageal tumours</t>
  </si>
  <si>
    <t>1582</t>
  </si>
  <si>
    <t>Oesophageal motility (4 or 6 channel + pneumograph - ECG + provocative</t>
  </si>
  <si>
    <t>1583</t>
  </si>
  <si>
    <t>Excision of intrathoracic oesophageal diverticulum</t>
  </si>
  <si>
    <t>1587</t>
  </si>
  <si>
    <t>Upper gastro-intestinal endoscopy: Hospital equipment</t>
  </si>
  <si>
    <t>1588</t>
  </si>
  <si>
    <t>Plus polypectomy: ADD to gastro-intestinal endoscopy (Item 1587)</t>
  </si>
  <si>
    <t>1589</t>
  </si>
  <si>
    <t>Endoscopic control of gastrointestinal haemorrhage from upper gastroin</t>
  </si>
  <si>
    <t>1591</t>
  </si>
  <si>
    <t>Plus removal of foreign bodies (stomach): ADD to gastro-intestinal end</t>
  </si>
  <si>
    <t>1615</t>
  </si>
  <si>
    <t>Suture of perforated gastric or duodenal ulcer or wound or injury</t>
  </si>
  <si>
    <t>1617</t>
  </si>
  <si>
    <t>Partial gastrectomy</t>
  </si>
  <si>
    <t>1619</t>
  </si>
  <si>
    <t>Total gastrectomy</t>
  </si>
  <si>
    <t>1621</t>
  </si>
  <si>
    <t>Revision of gastrectomy or gastro-enterostomy</t>
  </si>
  <si>
    <t>1625</t>
  </si>
  <si>
    <t>Gastro-esophageal operation for portal hypertension (Tanner)</t>
  </si>
  <si>
    <t>1626</t>
  </si>
  <si>
    <t>Endoscopic examination of the small bowel beyond the duodenojenunal fl</t>
  </si>
  <si>
    <t>1635</t>
  </si>
  <si>
    <t>Intestinal obstruction of the newborn</t>
  </si>
  <si>
    <t>1637</t>
  </si>
  <si>
    <t>Operation for relief of intestinal obstruction</t>
  </si>
  <si>
    <t>1639</t>
  </si>
  <si>
    <t>Resection of small bowel with enterostomy or anastomosis</t>
  </si>
  <si>
    <t>1641</t>
  </si>
  <si>
    <t>Entero-enterostomy or entero-colostomy for bypass</t>
  </si>
  <si>
    <t>1645</t>
  </si>
  <si>
    <t>Suture of intestine (small or large): Perforated ulcer, wound or injur</t>
  </si>
  <si>
    <t>1647</t>
  </si>
  <si>
    <t>Closure of intestinal fistula</t>
  </si>
  <si>
    <t>1651</t>
  </si>
  <si>
    <t>Excision of lesion of mesentery</t>
  </si>
  <si>
    <t>1652</t>
  </si>
  <si>
    <t>Laparotomy for mesenteric thrombosis</t>
  </si>
  <si>
    <t>1653</t>
  </si>
  <si>
    <t>Total colonoscopy: With hospital equipment (including biopsy)</t>
  </si>
  <si>
    <t>1654</t>
  </si>
  <si>
    <t>Plus removal of polyps: ADD to colonoscopy (Item 1653)</t>
  </si>
  <si>
    <t>1656</t>
  </si>
  <si>
    <t>Left-sided colonoscopy</t>
  </si>
  <si>
    <t>1657</t>
  </si>
  <si>
    <t>Right or left hemicolectomy or segmental colectomy</t>
  </si>
  <si>
    <t>1658</t>
  </si>
  <si>
    <t>Reconstruction of colon after Hartman's procedure</t>
  </si>
  <si>
    <t>1663</t>
  </si>
  <si>
    <t>Total colectomy</t>
  </si>
  <si>
    <t>1665</t>
  </si>
  <si>
    <t>Colostomy or ileostomy isolated procedure</t>
  </si>
  <si>
    <t>1666</t>
  </si>
  <si>
    <t>Continent ileostomy pouch (all types)</t>
  </si>
  <si>
    <t>1667</t>
  </si>
  <si>
    <t>Colostomy: Closure</t>
  </si>
  <si>
    <t>1668</t>
  </si>
  <si>
    <t>Revision of ileostomy pouch</t>
  </si>
  <si>
    <t>1669</t>
  </si>
  <si>
    <t>Total proctocolectomy and ileostomy</t>
  </si>
  <si>
    <t>1670</t>
  </si>
  <si>
    <t>Proctocolectomy, ileostomy and ileostomy pouch</t>
  </si>
  <si>
    <t>1673</t>
  </si>
  <si>
    <t>Drainage of appendix abscess</t>
  </si>
  <si>
    <t>1675</t>
  </si>
  <si>
    <t>Appendicectomy</t>
  </si>
  <si>
    <t>1676</t>
  </si>
  <si>
    <t>Flexible sigmoidoscopy (including rectum and anus): Hospital equipment</t>
  </si>
  <si>
    <t>1678</t>
  </si>
  <si>
    <t>Plus polypectomy: ADD to sigmoidoscopy (Item 1676)</t>
  </si>
  <si>
    <t>1679</t>
  </si>
  <si>
    <t>Sigmoidoscopy with removal of polyps, first and subsequent</t>
  </si>
  <si>
    <t>1681</t>
  </si>
  <si>
    <t>Proctoscopy with removal of polyps: First time</t>
  </si>
  <si>
    <t>1683</t>
  </si>
  <si>
    <t>Proctoscopy with removal of polyps: Subsequent times</t>
  </si>
  <si>
    <t>1687</t>
  </si>
  <si>
    <t>Anterior resection of rectum performed for carcinoma of rectum includi</t>
  </si>
  <si>
    <t>1688</t>
  </si>
  <si>
    <t>Total mesorectal excision with colo-anal anastomosis and defunctioning</t>
  </si>
  <si>
    <t>1689</t>
  </si>
  <si>
    <t>Perineal resection of rectum</t>
  </si>
  <si>
    <t>1691</t>
  </si>
  <si>
    <t>Abdomino-perineal resection of rectum: Abdominal surgeon</t>
  </si>
  <si>
    <t>1693</t>
  </si>
  <si>
    <t>Abdomino-perineal resection of rectum: Local excision of rectal tumour</t>
  </si>
  <si>
    <t>1695</t>
  </si>
  <si>
    <t>Abdomino-perineal resection of rectum: Combined abdomino-anal pull-thr</t>
  </si>
  <si>
    <t>1697</t>
  </si>
  <si>
    <t>Repair of prolapsed rectum: Abdominal: Roscoe Graham Moskovitz</t>
  </si>
  <si>
    <t>1699</t>
  </si>
  <si>
    <t>Repair of prolapsed rectum: Abdominal: Ivalon sponge</t>
  </si>
  <si>
    <t>1701</t>
  </si>
  <si>
    <t>Repair of prolapsed rectum: Abdominal: Perineal</t>
  </si>
  <si>
    <t>1703</t>
  </si>
  <si>
    <t>Repair of prolapsed rectum: Abdominal: Thierisch suture</t>
  </si>
  <si>
    <t>1705</t>
  </si>
  <si>
    <t>Incision and drainage of peri-anal abscess</t>
  </si>
  <si>
    <t>1709</t>
  </si>
  <si>
    <t>Drainage of ischio-rectal abscess</t>
  </si>
  <si>
    <t>1711</t>
  </si>
  <si>
    <t>Excision of pelvi-rectal fistula</t>
  </si>
  <si>
    <t>1713</t>
  </si>
  <si>
    <t>Excision of fistula-in-ano</t>
  </si>
  <si>
    <t>1715</t>
  </si>
  <si>
    <t>Operation for fissure-in-ano</t>
  </si>
  <si>
    <t>1719</t>
  </si>
  <si>
    <t>Rubber band ligation of haemorrhoids: Per haemorrhoid</t>
  </si>
  <si>
    <t>1723</t>
  </si>
  <si>
    <t>Haemorrhoidectomy</t>
  </si>
  <si>
    <t>1727</t>
  </si>
  <si>
    <t>Multiple procedures (haemorrhoids, fissure, etc.)</t>
  </si>
  <si>
    <t>1728</t>
  </si>
  <si>
    <t>Biopsy of ano-rectal wall, for congenital megacolon</t>
  </si>
  <si>
    <t>1729</t>
  </si>
  <si>
    <t>Excision of anal skin tags</t>
  </si>
  <si>
    <t>1731</t>
  </si>
  <si>
    <t>Operation for low imperforate anus</t>
  </si>
  <si>
    <t>1735</t>
  </si>
  <si>
    <t>Anal sphincteroplasty for incontinence</t>
  </si>
  <si>
    <t>1737</t>
  </si>
  <si>
    <t>Dilation of ano-rectal stricture</t>
  </si>
  <si>
    <t>1741</t>
  </si>
  <si>
    <t>Closure of recto-urethral fistula</t>
  </si>
  <si>
    <t>1743</t>
  </si>
  <si>
    <t>Needle biopsy of liver</t>
  </si>
  <si>
    <t>1745</t>
  </si>
  <si>
    <t>Biopsy of liver by laparotomy</t>
  </si>
  <si>
    <t>1747</t>
  </si>
  <si>
    <t>Drainage of liver abscess or cyst</t>
  </si>
  <si>
    <t>1749</t>
  </si>
  <si>
    <t>Hemi-hepatectomy: Right</t>
  </si>
  <si>
    <t>1751</t>
  </si>
  <si>
    <t>Hemi-hepatectomy: Left</t>
  </si>
  <si>
    <t>1752</t>
  </si>
  <si>
    <t>Extended right or left hepatectomy</t>
  </si>
  <si>
    <t>1753</t>
  </si>
  <si>
    <t>Partial or segmental hepatectomy</t>
  </si>
  <si>
    <t>1754</t>
  </si>
  <si>
    <t>Hepatico-jejunostomy</t>
  </si>
  <si>
    <t>1755</t>
  </si>
  <si>
    <t>Liver transplant</t>
  </si>
  <si>
    <t>1756</t>
  </si>
  <si>
    <t>Harvesting donor hepatectomy</t>
  </si>
  <si>
    <t>1757</t>
  </si>
  <si>
    <t>Suture of liver wound or injury</t>
  </si>
  <si>
    <t>1761</t>
  </si>
  <si>
    <t>Cholecystectomy</t>
  </si>
  <si>
    <t>1762</t>
  </si>
  <si>
    <t>Cholecystectomy and operative cholangiogram</t>
  </si>
  <si>
    <t>1763</t>
  </si>
  <si>
    <t>With exploration of common bile duct</t>
  </si>
  <si>
    <t>1765</t>
  </si>
  <si>
    <t>Exploration of common bile duct: Secondary operation</t>
  </si>
  <si>
    <t>1767</t>
  </si>
  <si>
    <t>Reconstruction of common bile duct</t>
  </si>
  <si>
    <t>1768</t>
  </si>
  <si>
    <t>Resection bile duct tumour with reconstruction</t>
  </si>
  <si>
    <t>1770</t>
  </si>
  <si>
    <t>Endoscopic placement of biliduodenal endoprosthesis: ADD to ERCP (item</t>
  </si>
  <si>
    <t>1772</t>
  </si>
  <si>
    <t>Endoscopic placement of a nasobiliary drainage tube: ADD to ERCP (item</t>
  </si>
  <si>
    <t>1773</t>
  </si>
  <si>
    <t>Transduodenal sphincteroplasty</t>
  </si>
  <si>
    <t>1774</t>
  </si>
  <si>
    <t>Balloon dilatation of common bile duct strictures</t>
  </si>
  <si>
    <t>1777</t>
  </si>
  <si>
    <t>Porto-enterostomy for biliary atresia</t>
  </si>
  <si>
    <t>1778</t>
  </si>
  <si>
    <t>Endoscopic Retrograde Cholangiopancreatography (ERCP): Endoscopy + cat</t>
  </si>
  <si>
    <t>1779</t>
  </si>
  <si>
    <t>Endoscopic retrograde removal of stone(s) as for biliary and/or pancre</t>
  </si>
  <si>
    <t>1783</t>
  </si>
  <si>
    <t>Drainage of pancreatic abscess</t>
  </si>
  <si>
    <t>1784</t>
  </si>
  <si>
    <t>Debridement pancreatic necrosis</t>
  </si>
  <si>
    <t>1785</t>
  </si>
  <si>
    <t>Internal drainage of pancreatic cyst</t>
  </si>
  <si>
    <t>1786</t>
  </si>
  <si>
    <t>Internal drainage of pancreatic cyst with Roux-Y</t>
  </si>
  <si>
    <t>1788</t>
  </si>
  <si>
    <t>Biopsy of pancreas</t>
  </si>
  <si>
    <t>1789</t>
  </si>
  <si>
    <t>Pancreatico-duodenectomy</t>
  </si>
  <si>
    <t>1790</t>
  </si>
  <si>
    <t>Endoscopic cannulation of papilla with direct visualisation of pancrea</t>
  </si>
  <si>
    <t>1791</t>
  </si>
  <si>
    <t>Local, partial or subtotal pancreatectomy</t>
  </si>
  <si>
    <t>1793</t>
  </si>
  <si>
    <t>Distal pancreatectomy with internal drainage</t>
  </si>
  <si>
    <t>1797</t>
  </si>
  <si>
    <t>Pneumo-peritoneum: First</t>
  </si>
  <si>
    <t>1799</t>
  </si>
  <si>
    <t>Pneumo-peritoneum: Repeat</t>
  </si>
  <si>
    <t>1807</t>
  </si>
  <si>
    <t>ADD to open procedure where procedure was performed through a laparosc</t>
  </si>
  <si>
    <t>1809</t>
  </si>
  <si>
    <t>Laparotomy</t>
  </si>
  <si>
    <t>1810</t>
  </si>
  <si>
    <t>Radical removal of retro-peritoneal malignant tumours (including sacro</t>
  </si>
  <si>
    <t>1812</t>
  </si>
  <si>
    <t>Laparotomy for control of surgical haemorrhage</t>
  </si>
  <si>
    <t>1815</t>
  </si>
  <si>
    <t>Drainage of other intraperitoneal abscess (excluding appendix abscess)</t>
  </si>
  <si>
    <t>1817</t>
  </si>
  <si>
    <t>1819</t>
  </si>
  <si>
    <t>Inguinal or femoral hernia: Adult</t>
  </si>
  <si>
    <t>1821</t>
  </si>
  <si>
    <t>Inguinal or femoral hernia: Child under 14 years</t>
  </si>
  <si>
    <t>1823</t>
  </si>
  <si>
    <t>Inguinal hernia: Infant under one year</t>
  </si>
  <si>
    <t>1825</t>
  </si>
  <si>
    <t>Recurrent inguinal or femoral hernia</t>
  </si>
  <si>
    <t>1827</t>
  </si>
  <si>
    <t>Strangulated hernia or femoral hernia</t>
  </si>
  <si>
    <t>1829</t>
  </si>
  <si>
    <t>Epigastric hernia</t>
  </si>
  <si>
    <t>1831</t>
  </si>
  <si>
    <t>Umbilical hernia: Adult</t>
  </si>
  <si>
    <t>1833</t>
  </si>
  <si>
    <t>Umbilical hernia: Child under 14 years</t>
  </si>
  <si>
    <t>1835</t>
  </si>
  <si>
    <t>Incisional hernia</t>
  </si>
  <si>
    <t>1836</t>
  </si>
  <si>
    <t>Implantation of mesh or other prosthesis for incisional or ventral her</t>
  </si>
  <si>
    <t>1839</t>
  </si>
  <si>
    <t>Renal biopsy: Per kidney: Open</t>
  </si>
  <si>
    <t>1841</t>
  </si>
  <si>
    <t>Renal biopsy: Needle</t>
  </si>
  <si>
    <t>1853</t>
  </si>
  <si>
    <t>Nephrectomy: Primary nephrectomy</t>
  </si>
  <si>
    <t>1855</t>
  </si>
  <si>
    <t>Nephrectomy: Secondary nephrectomy</t>
  </si>
  <si>
    <t>1859</t>
  </si>
  <si>
    <t>Nephrectomy: Partial</t>
  </si>
  <si>
    <t>1861</t>
  </si>
  <si>
    <t>Symphysiotomy for horse-shoe kidney</t>
  </si>
  <si>
    <t>1863</t>
  </si>
  <si>
    <t>Nephro-ureterectomy</t>
  </si>
  <si>
    <t>1865</t>
  </si>
  <si>
    <t>Nephrotomy with drainage nephrostomy</t>
  </si>
  <si>
    <t>1873</t>
  </si>
  <si>
    <t>Suture renal laceration (renorraphy)</t>
  </si>
  <si>
    <t>1875</t>
  </si>
  <si>
    <t>Percutaneous aspiration cyst: Nephrostomy, pyelostomy</t>
  </si>
  <si>
    <t>1877</t>
  </si>
  <si>
    <t>Operation for renal cyst: Marsupialisation or excision</t>
  </si>
  <si>
    <t>1879</t>
  </si>
  <si>
    <t>Closure renal fistula</t>
  </si>
  <si>
    <t>1887</t>
  </si>
  <si>
    <t>Complicated pyelo-lithotomy (e.g. solitary, ectopic, horse-shoe kidney</t>
  </si>
  <si>
    <t>1889</t>
  </si>
  <si>
    <t>Nephrectomy for Allograft: Living or dead</t>
  </si>
  <si>
    <t>1891</t>
  </si>
  <si>
    <t>Perinephric abscess or renal abscess: Drainage</t>
  </si>
  <si>
    <t>1893</t>
  </si>
  <si>
    <t>Aberrant renal vessels: Repositioning with pyeloplasty</t>
  </si>
  <si>
    <t>1894</t>
  </si>
  <si>
    <t>Auto transplantation of kidney</t>
  </si>
  <si>
    <t>1895</t>
  </si>
  <si>
    <t>Allo transplantation of kidney</t>
  </si>
  <si>
    <t>1897</t>
  </si>
  <si>
    <t>Ureterorraphy: Suture of ureter</t>
  </si>
  <si>
    <t>1898</t>
  </si>
  <si>
    <t>Ureterorraphy: Lumbar approach</t>
  </si>
  <si>
    <t>1899</t>
  </si>
  <si>
    <t>Ureteroplasty</t>
  </si>
  <si>
    <t>1901</t>
  </si>
  <si>
    <t>Ureterolysis</t>
  </si>
  <si>
    <t>1902</t>
  </si>
  <si>
    <t>Ureterolysis: Lumbar approach</t>
  </si>
  <si>
    <t>1903</t>
  </si>
  <si>
    <t>Ureterectomy only</t>
  </si>
  <si>
    <t>1905</t>
  </si>
  <si>
    <t>Ureterolithotomy</t>
  </si>
  <si>
    <t>1907</t>
  </si>
  <si>
    <t>Cutaneous ureterostomy: Unilateral</t>
  </si>
  <si>
    <t>1909</t>
  </si>
  <si>
    <t>Cutaneous ureterostomy: Bilateral</t>
  </si>
  <si>
    <t>1911</t>
  </si>
  <si>
    <t>Uretero-enterostomy: Unilateral</t>
  </si>
  <si>
    <t>1913</t>
  </si>
  <si>
    <t>Uretero-enterostomy: Bilateral</t>
  </si>
  <si>
    <t>1915</t>
  </si>
  <si>
    <t>Uretero-ureterostomy</t>
  </si>
  <si>
    <t>1917</t>
  </si>
  <si>
    <t>Transuretero-ureterostomy</t>
  </si>
  <si>
    <t>1919</t>
  </si>
  <si>
    <t>Closure of ureteric fistula</t>
  </si>
  <si>
    <t>1921</t>
  </si>
  <si>
    <t>Immediate deligation of ureter</t>
  </si>
  <si>
    <t>1923</t>
  </si>
  <si>
    <t>Ureterolysis for retrocaval ureter with anastomosis</t>
  </si>
  <si>
    <t>1925</t>
  </si>
  <si>
    <t>Uretero-pyelostomy</t>
  </si>
  <si>
    <t>1927</t>
  </si>
  <si>
    <t>Uretero-neo-cystostomy: Unilateral</t>
  </si>
  <si>
    <t>1929</t>
  </si>
  <si>
    <t>Uretero-neo-cystostomy: Bilateral</t>
  </si>
  <si>
    <t>1931</t>
  </si>
  <si>
    <t>Uretero-neo-cystostomy: With Boariplasty</t>
  </si>
  <si>
    <t>1933</t>
  </si>
  <si>
    <t>Uretero-sigmoidostomy with rectal bladder and colostomy</t>
  </si>
  <si>
    <t>1935</t>
  </si>
  <si>
    <t>Uretero-ileal conduit</t>
  </si>
  <si>
    <t>1937</t>
  </si>
  <si>
    <t>Replacement of ureter by bowel segment: Unilateral</t>
  </si>
  <si>
    <t>1939</t>
  </si>
  <si>
    <t>Replacement of ureter by bowel segment: Bilateral</t>
  </si>
  <si>
    <t>1941</t>
  </si>
  <si>
    <t>Ureterostomy-in-situ: Unilateral</t>
  </si>
  <si>
    <t>1943</t>
  </si>
  <si>
    <t>Ureterostomy-in-situ: Bilateral</t>
  </si>
  <si>
    <t>1947</t>
  </si>
  <si>
    <t xml:space="preserve">Instillation of anti-carcinogenic agent including retention time, but </t>
  </si>
  <si>
    <t>1949</t>
  </si>
  <si>
    <t>Cystoscopy: Hospital equipment</t>
  </si>
  <si>
    <t>1951</t>
  </si>
  <si>
    <t>And retrograde pyelography or retrograde ureteral catheterisation: Uni</t>
  </si>
  <si>
    <t>1952</t>
  </si>
  <si>
    <t>J J Stent catheter</t>
  </si>
  <si>
    <t>1953</t>
  </si>
  <si>
    <t>With hydrodilatation of the bladder for interstitial cystitis</t>
  </si>
  <si>
    <t>1955</t>
  </si>
  <si>
    <t>And bilateral ureteric catheterisation with differential function stud</t>
  </si>
  <si>
    <t>1957</t>
  </si>
  <si>
    <t>With dilatation of the ureter or ureters</t>
  </si>
  <si>
    <t>1959</t>
  </si>
  <si>
    <t>With manipulation of ureteral calculus</t>
  </si>
  <si>
    <t>1961</t>
  </si>
  <si>
    <t>With removal of foreign body or calculus from urethra or bladder</t>
  </si>
  <si>
    <t>1963</t>
  </si>
  <si>
    <t>With fulguration or treatment of minor lesions, with or without biopsy</t>
  </si>
  <si>
    <t>1965</t>
  </si>
  <si>
    <t>And catheterisation of the ejaculatory duct</t>
  </si>
  <si>
    <t>1967</t>
  </si>
  <si>
    <t>With ureteric meatotomy: Unilateral or bilateral</t>
  </si>
  <si>
    <t>1971</t>
  </si>
  <si>
    <t>With cryosurgery for bladder or prostatic disease</t>
  </si>
  <si>
    <t>1973</t>
  </si>
  <si>
    <t>With incision fulguration, or resection of bladder neck and/or posteri</t>
  </si>
  <si>
    <t>1975</t>
  </si>
  <si>
    <t>Ultraviolet cystoscopy for bladder tumour</t>
  </si>
  <si>
    <t>1977</t>
  </si>
  <si>
    <t>Transurethral resection of ejaculatory duct</t>
  </si>
  <si>
    <t>1983</t>
  </si>
  <si>
    <t>Transurethral resection of bladder tumour</t>
  </si>
  <si>
    <t>1984</t>
  </si>
  <si>
    <t>Transurethral resection of bladder tumours: Large multiple tumours</t>
  </si>
  <si>
    <t>1985</t>
  </si>
  <si>
    <t>Transurethral resection of bladder neck: Female or child</t>
  </si>
  <si>
    <t>1986</t>
  </si>
  <si>
    <t>Transurethral resection of bladder neck: Male</t>
  </si>
  <si>
    <t>1991</t>
  </si>
  <si>
    <t>Flometric bladder, studies with videocystograph</t>
  </si>
  <si>
    <t>1995</t>
  </si>
  <si>
    <t>Percutaneous aspiration of bladder</t>
  </si>
  <si>
    <t>1996</t>
  </si>
  <si>
    <t>Bladder catheterisation: Male (not at operation)</t>
  </si>
  <si>
    <t>2001</t>
  </si>
  <si>
    <t>Total cystectomy: After previous urinary diversion</t>
  </si>
  <si>
    <t>2003</t>
  </si>
  <si>
    <t>Total cystectomy: With conduit construction and ureteric anastomosis</t>
  </si>
  <si>
    <t>2005</t>
  </si>
  <si>
    <t>Cystectomy with substitute bowel bladder construction with anastomosis</t>
  </si>
  <si>
    <t>2006</t>
  </si>
  <si>
    <t>Cystectomy with continent urinary diversion (e.g. Kocks Pouch)</t>
  </si>
  <si>
    <t>2007</t>
  </si>
  <si>
    <t>Partial cystectomy</t>
  </si>
  <si>
    <t>2008</t>
  </si>
  <si>
    <t>Continent urinary diversion without cystectomy (e.g. Kocks Pouch)</t>
  </si>
  <si>
    <t>2009</t>
  </si>
  <si>
    <t>Radical total cystectomy with block dissection, ileal conduit and tran</t>
  </si>
  <si>
    <t>2011</t>
  </si>
  <si>
    <t>Partial cystectomy with uretero-neo-cystostomy</t>
  </si>
  <si>
    <t>2012</t>
  </si>
  <si>
    <t>Reversion of conduit with major urinary tract reconstruction</t>
  </si>
  <si>
    <t>2017</t>
  </si>
  <si>
    <t>Open loop fulguration or excision of bladder tumour</t>
  </si>
  <si>
    <t>2019</t>
  </si>
  <si>
    <t>Operation for vesico-vaginal or urethra-vaginal fistula</t>
  </si>
  <si>
    <t>2020</t>
  </si>
  <si>
    <t>Repair of vesico vaginal fistula: Abdominal approach</t>
  </si>
  <si>
    <t>2023</t>
  </si>
  <si>
    <t>Vesico-urethropexy for correction or urinary incontinence: Abdominal a</t>
  </si>
  <si>
    <t>2027</t>
  </si>
  <si>
    <t>Open operation for ureterocele: Unilateral</t>
  </si>
  <si>
    <t>2029</t>
  </si>
  <si>
    <t>Open operation for ureterocele: Bilateral</t>
  </si>
  <si>
    <t>2031</t>
  </si>
  <si>
    <t>Reconstruction of ectopic bladder exclusive of orthopaedic operation (</t>
  </si>
  <si>
    <t>2033</t>
  </si>
  <si>
    <t>2037</t>
  </si>
  <si>
    <t>Cystoplasty, cysto-urethraplasty, vesicolysis</t>
  </si>
  <si>
    <t>2039</t>
  </si>
  <si>
    <t>Operation for ruptured bladder</t>
  </si>
  <si>
    <t>2042</t>
  </si>
  <si>
    <t>Enterocystoplasty plus bowel anastomosis</t>
  </si>
  <si>
    <t>2049</t>
  </si>
  <si>
    <t>Evacuation of clots from bladder: Other than post-operative</t>
  </si>
  <si>
    <t>2050</t>
  </si>
  <si>
    <t>Evacuation of clots from bladder: Post-operative</t>
  </si>
  <si>
    <t>2051</t>
  </si>
  <si>
    <t>Simple bladder lavage: Including catheterisation</t>
  </si>
  <si>
    <t>2053</t>
  </si>
  <si>
    <t>Bladder neck plasty: Male</t>
  </si>
  <si>
    <t>2057</t>
  </si>
  <si>
    <t>Bladder neck plasty: Female</t>
  </si>
  <si>
    <t>2059</t>
  </si>
  <si>
    <t>Open biopsy of urethra: Male</t>
  </si>
  <si>
    <t>2061</t>
  </si>
  <si>
    <t>Open biopsy of urethra: Female</t>
  </si>
  <si>
    <t>2063</t>
  </si>
  <si>
    <t>Dilatation of urethra stricture: By passage sound: Initial (male)</t>
  </si>
  <si>
    <t>2065</t>
  </si>
  <si>
    <t>Dilatation of urethra stricture: By passage sound: Subsequent (male)</t>
  </si>
  <si>
    <t>2067</t>
  </si>
  <si>
    <t>Dilatation of urethra stricture: By passage sound: By passage of filif</t>
  </si>
  <si>
    <t>2069</t>
  </si>
  <si>
    <t>Dilatation of female urethra</t>
  </si>
  <si>
    <t>2071</t>
  </si>
  <si>
    <t>Urethrorraphy: Suture of urethral wound or injury</t>
  </si>
  <si>
    <t>2073</t>
  </si>
  <si>
    <t>External urethrotomy: Pendulous urethra (anterior)</t>
  </si>
  <si>
    <t>2075</t>
  </si>
  <si>
    <t>Urethraplasty: Pendulous urethra: First stage</t>
  </si>
  <si>
    <t>2077</t>
  </si>
  <si>
    <t>Urethraplasty: Pendulous urethra: Second stage</t>
  </si>
  <si>
    <t>2079</t>
  </si>
  <si>
    <t>Reconstruction of female urethra</t>
  </si>
  <si>
    <t>2081</t>
  </si>
  <si>
    <t>Reconstruction or repair of male anterior urethra (one stage)</t>
  </si>
  <si>
    <t>2083</t>
  </si>
  <si>
    <t>Reconstruction or repair of prostatic or membranous urethra: First sta</t>
  </si>
  <si>
    <t>2085</t>
  </si>
  <si>
    <t>Reconstruction or repair of prostatic or membranous urethra: Second st</t>
  </si>
  <si>
    <t>2086</t>
  </si>
  <si>
    <t>Reconstruction or repair of prostatic or membranous urethra: If done i</t>
  </si>
  <si>
    <t>2087</t>
  </si>
  <si>
    <t>Urethral diverticulectomy: Male or female</t>
  </si>
  <si>
    <t>2088</t>
  </si>
  <si>
    <t>Peri-urethral teflon injection: Male or female - fee as for cystoscopy</t>
  </si>
  <si>
    <t>2089</t>
  </si>
  <si>
    <t>Marsupialisation of urethral diverticula: Male or female</t>
  </si>
  <si>
    <t>2095</t>
  </si>
  <si>
    <t>Drainage of simple localised perineal urinary extravasation</t>
  </si>
  <si>
    <t>2097</t>
  </si>
  <si>
    <t>Drainage of extensive perineal and/or abdominal urinary extravasation</t>
  </si>
  <si>
    <t>2099</t>
  </si>
  <si>
    <t>Fulguration for urethral caruncle or polyp</t>
  </si>
  <si>
    <t>2101</t>
  </si>
  <si>
    <t>Excision of urethral caruncle</t>
  </si>
  <si>
    <t>2103</t>
  </si>
  <si>
    <t>Simple urethral meatotomy</t>
  </si>
  <si>
    <t>2105</t>
  </si>
  <si>
    <t>Incision of deep peri-urethral abscess: Female</t>
  </si>
  <si>
    <t>2107</t>
  </si>
  <si>
    <t>Incision of deep peri-urethral abscess: Male</t>
  </si>
  <si>
    <t>2115</t>
  </si>
  <si>
    <t xml:space="preserve">Operation for correction of male urinary incontinence with or without </t>
  </si>
  <si>
    <t>2116</t>
  </si>
  <si>
    <t>Urethral meatoplasty</t>
  </si>
  <si>
    <t>2121</t>
  </si>
  <si>
    <t>Closure of urethrovaginal fistula: Including diversionary procedures</t>
  </si>
  <si>
    <t>2123</t>
  </si>
  <si>
    <t>Biopsy of penis (independent procedure)</t>
  </si>
  <si>
    <t>2132</t>
  </si>
  <si>
    <t>Ligation of abnormal venous drainage</t>
  </si>
  <si>
    <t>2133</t>
  </si>
  <si>
    <t>Circumcision: Clamp procedure</t>
  </si>
  <si>
    <t>2137</t>
  </si>
  <si>
    <t>Circumcision: Surgical excision other than by clamp or dorsal slit, an</t>
  </si>
  <si>
    <t>2139</t>
  </si>
  <si>
    <t>Circumcision: Dorsal slit of prepuce (independent procedure)</t>
  </si>
  <si>
    <t>2141</t>
  </si>
  <si>
    <t>Reconstructive operation of penis: Reconstructive operation for insert</t>
  </si>
  <si>
    <t>2143</t>
  </si>
  <si>
    <t>Reconstructive operation of penis: For straightening of chordee e.g. h</t>
  </si>
  <si>
    <t>2145</t>
  </si>
  <si>
    <t>Reconstructive operation of penis: For straightening of chordee with t</t>
  </si>
  <si>
    <t>2147</t>
  </si>
  <si>
    <t>Reconstructive operation of penis: For injury: Including fracture of p</t>
  </si>
  <si>
    <t>2149</t>
  </si>
  <si>
    <t>Reconstructive operation of penis: For epispadias distal to the extern</t>
  </si>
  <si>
    <t>2155</t>
  </si>
  <si>
    <t>Hypospadias: Urethral reconstruction</t>
  </si>
  <si>
    <t>2157</t>
  </si>
  <si>
    <t>Hypospadias: Subsequent procedures for repair of urethra: Total</t>
  </si>
  <si>
    <t>2159</t>
  </si>
  <si>
    <t>Hypospadias: Urethraplasty: Complete, one stage for hypospadias</t>
  </si>
  <si>
    <t>2161</t>
  </si>
  <si>
    <t>Total amputation of penis: Without gland dissection</t>
  </si>
  <si>
    <t>2163</t>
  </si>
  <si>
    <t>Total amputation of penis: With gland-dissection</t>
  </si>
  <si>
    <t>2165</t>
  </si>
  <si>
    <t>Partial amputation of penis: With gland-dissection</t>
  </si>
  <si>
    <t>2167</t>
  </si>
  <si>
    <t>Partial amputation of penis: Without gland-dissection</t>
  </si>
  <si>
    <t>2173</t>
  </si>
  <si>
    <t>Priapism operation: Shunt procedure: Any type</t>
  </si>
  <si>
    <t>2174</t>
  </si>
  <si>
    <t>Priapism operation: Stab shunt</t>
  </si>
  <si>
    <t>2175</t>
  </si>
  <si>
    <t>Testis biopsy: Needle (independent procedure)</t>
  </si>
  <si>
    <t>2177</t>
  </si>
  <si>
    <t>Testis biopsy: Incisional: Independent procedure: Unilateral</t>
  </si>
  <si>
    <t>2179</t>
  </si>
  <si>
    <t>Testis biopsy: Incisional: Independent procedure: Bilateral</t>
  </si>
  <si>
    <t>2181</t>
  </si>
  <si>
    <t>Epididymis biopsy: Needle</t>
  </si>
  <si>
    <t>2183</t>
  </si>
  <si>
    <t>Puncture aspiration hydrocele with or without injection of medication</t>
  </si>
  <si>
    <t>2187</t>
  </si>
  <si>
    <t>Operation for torsion appendix testis</t>
  </si>
  <si>
    <t>2189</t>
  </si>
  <si>
    <t>Operation for torsion testis with fixation of contralateral testis</t>
  </si>
  <si>
    <t>2191</t>
  </si>
  <si>
    <t>Orchidectomy (total or subcapsular): Unilateral</t>
  </si>
  <si>
    <t>2193</t>
  </si>
  <si>
    <t>Orchidectomy (total or subcapsular): Bilateral</t>
  </si>
  <si>
    <t>2195</t>
  </si>
  <si>
    <t>Radical operation for malignant testis: Excluding gland dissection</t>
  </si>
  <si>
    <t>2197</t>
  </si>
  <si>
    <t>Operation for hydrocele or spermatocele</t>
  </si>
  <si>
    <t>2199</t>
  </si>
  <si>
    <t>Varicocelectomy</t>
  </si>
  <si>
    <t>2201</t>
  </si>
  <si>
    <t>Abdominal ligation of spermatic vein for varicocele</t>
  </si>
  <si>
    <t>2203</t>
  </si>
  <si>
    <t>Epididymectomy: Unilateral</t>
  </si>
  <si>
    <t>2205</t>
  </si>
  <si>
    <t>Epididymectomy: Bilateral</t>
  </si>
  <si>
    <t>2207</t>
  </si>
  <si>
    <t>Vasectomy: Unilateral or bilateral (no extra fee to be charged if done</t>
  </si>
  <si>
    <t>2212</t>
  </si>
  <si>
    <t>Insertion of testicular prosthesis: Independent procedure (exclusive o</t>
  </si>
  <si>
    <t>2213</t>
  </si>
  <si>
    <t>Suture or repair of testicular injury</t>
  </si>
  <si>
    <t>2215</t>
  </si>
  <si>
    <t>Incision and drainage of testis or epididymis e.g. abscess or haematom</t>
  </si>
  <si>
    <t>2217</t>
  </si>
  <si>
    <t>Excision of local lesion of testis or epididymis</t>
  </si>
  <si>
    <t>2223</t>
  </si>
  <si>
    <t>Epididymo-vasostomy: Unilateral</t>
  </si>
  <si>
    <t>2225</t>
  </si>
  <si>
    <t>Epididymo-vasostomy: Bilateral</t>
  </si>
  <si>
    <t>2227</t>
  </si>
  <si>
    <t>Incision and drainage of scrotal wall abscess</t>
  </si>
  <si>
    <t>2231</t>
  </si>
  <si>
    <t>Excision of lesion of spermatic cord</t>
  </si>
  <si>
    <t>2235</t>
  </si>
  <si>
    <t>Biopsy prostate: Needle or punch, single or multiple, any approach</t>
  </si>
  <si>
    <t>2237</t>
  </si>
  <si>
    <t>Biopsy prostate: Incisional, any approach</t>
  </si>
  <si>
    <t>2239</t>
  </si>
  <si>
    <t>Transurethral drainage of prostatic abscess</t>
  </si>
  <si>
    <t>2241</t>
  </si>
  <si>
    <t>Perineal drainage of prostatic abscess</t>
  </si>
  <si>
    <t>2243</t>
  </si>
  <si>
    <t>Trans-urethral cryo-surgical removal of prostate</t>
  </si>
  <si>
    <t>2245</t>
  </si>
  <si>
    <t>Trans-urethral resection of prostate</t>
  </si>
  <si>
    <t>2247</t>
  </si>
  <si>
    <t>Trans-urethral resection of residual prostatic tissue 90 days post-ope</t>
  </si>
  <si>
    <t>2249</t>
  </si>
  <si>
    <t>Trans-urethral resection of post-operative bladder neck contracture</t>
  </si>
  <si>
    <t>2251</t>
  </si>
  <si>
    <t>Prostatectomy: Perineal: Sub-total</t>
  </si>
  <si>
    <t>2253</t>
  </si>
  <si>
    <t>Prostatectomy: Perineal: Radical</t>
  </si>
  <si>
    <t>2260</t>
  </si>
  <si>
    <t>Prostate brachytherapy</t>
  </si>
  <si>
    <t>2270</t>
  </si>
  <si>
    <t xml:space="preserve">Biopsy of vulva or perineum; each separate additional lesion (Only be </t>
  </si>
  <si>
    <t>2272</t>
  </si>
  <si>
    <t>Removal of small superficial lesion(s): any method</t>
  </si>
  <si>
    <t>2273</t>
  </si>
  <si>
    <t>Biopsy with suture of vulva or perineum lesion</t>
  </si>
  <si>
    <t>2274</t>
  </si>
  <si>
    <t>Electro, Cryo, Chemo, Laser therapy of vulva and/or vagina (colposcopy</t>
  </si>
  <si>
    <t>2275</t>
  </si>
  <si>
    <t>Reduction labial hypertrophy/repair vulva</t>
  </si>
  <si>
    <t>2277</t>
  </si>
  <si>
    <t>Removal of  benign vulva tumour, or cyst</t>
  </si>
  <si>
    <t>2278</t>
  </si>
  <si>
    <t>Perineoplasty, non-obstetrical - stand alone procedure</t>
  </si>
  <si>
    <t>2279</t>
  </si>
  <si>
    <t>Colpoperineorraphy: Repair secondary perineal tear, suture of injury o</t>
  </si>
  <si>
    <t>2280</t>
  </si>
  <si>
    <t>Colpoperineorraphy: Repair third degree tear, including anal sphincter</t>
  </si>
  <si>
    <t>2282</t>
  </si>
  <si>
    <t>Incision and drainage obstetrical/postpartum of vaginal haematoma</t>
  </si>
  <si>
    <t>2284</t>
  </si>
  <si>
    <t>Incision and drainage non-obstetrical of vaginal haematoma (e.g. post-</t>
  </si>
  <si>
    <t>2287</t>
  </si>
  <si>
    <t>Clitoris repair for injury: Including skin graft, if required</t>
  </si>
  <si>
    <t>2293</t>
  </si>
  <si>
    <t>Vulva and introitus: Drainage of abscess</t>
  </si>
  <si>
    <t>2295</t>
  </si>
  <si>
    <t>Marsupialisation  of Bartholin's gland abscess/cyst</t>
  </si>
  <si>
    <t>2297</t>
  </si>
  <si>
    <t>Bartholin gland excision</t>
  </si>
  <si>
    <t>2299</t>
  </si>
  <si>
    <t>Vulvectomy, radical, complete</t>
  </si>
  <si>
    <t>2305</t>
  </si>
  <si>
    <t>Vulvectomy: partial, simple</t>
  </si>
  <si>
    <t>2307</t>
  </si>
  <si>
    <t>Vulvectomy: complete, simple</t>
  </si>
  <si>
    <t>2308</t>
  </si>
  <si>
    <t>Vulvectomy, radical, partial; without lymphadenectomy.</t>
  </si>
  <si>
    <t>2309</t>
  </si>
  <si>
    <t>Vulvectomy, radical, complete; with bilateral inguinofemoral lymphaden</t>
  </si>
  <si>
    <t>2310</t>
  </si>
  <si>
    <t>Vulvectomy, radical complete; with unilateral inguinofemoral lymphaden</t>
  </si>
  <si>
    <t>2311</t>
  </si>
  <si>
    <t>Vulvectomy, radical, complete, including bilateral inguinofemoral, ili</t>
  </si>
  <si>
    <t>2319</t>
  </si>
  <si>
    <t>Excision of vaginal cysts or tumours (benign)</t>
  </si>
  <si>
    <t>2320</t>
  </si>
  <si>
    <t>Revision of prosthetic vaginal graft or mesh: Laparoscopic revision (i</t>
  </si>
  <si>
    <t>2321</t>
  </si>
  <si>
    <t>Drainage of vaginal abscess</t>
  </si>
  <si>
    <t>2324</t>
  </si>
  <si>
    <t>Revision of prosthetic vaginal graft or mesh:Vaginal approach (removal</t>
  </si>
  <si>
    <t>2325</t>
  </si>
  <si>
    <t xml:space="preserve">Construction of artificial vagina: Labial fusion without graft, after </t>
  </si>
  <si>
    <t>2326</t>
  </si>
  <si>
    <t>Revision of prosthetic vaginal graft or mesh: Abdominal approach (remo</t>
  </si>
  <si>
    <t>2327</t>
  </si>
  <si>
    <t>Construction of artificial vagina with graft (skin or bowel)</t>
  </si>
  <si>
    <t>2328</t>
  </si>
  <si>
    <t>Paravaginal/site specific defect repair (including repair of cystocele</t>
  </si>
  <si>
    <t>2330</t>
  </si>
  <si>
    <t>Fitting/insertion of pessary or other intravaginal support device</t>
  </si>
  <si>
    <t>2331</t>
  </si>
  <si>
    <t>Vaginal septum removal</t>
  </si>
  <si>
    <t>2337</t>
  </si>
  <si>
    <t>Colpopexy: Vaginal, extra-peritoneal approach (sacrospinous, iliococcy</t>
  </si>
  <si>
    <t>2338</t>
  </si>
  <si>
    <t>Colpopexy: Vaginal, intra-peritoneal approach (uretrosacral, levator m</t>
  </si>
  <si>
    <t>2340</t>
  </si>
  <si>
    <t>Sacrocolpopexy: Laparoscopic with use of mesh</t>
  </si>
  <si>
    <t>2343</t>
  </si>
  <si>
    <t>Vaginal hysterectomy: Without repair</t>
  </si>
  <si>
    <t>2344</t>
  </si>
  <si>
    <t xml:space="preserve">Vaginal hysterectomy; with unilateral/bilateral  salpingectomy and/or </t>
  </si>
  <si>
    <t>2345</t>
  </si>
  <si>
    <t>Vaginal hysterectomy: With enterocoele/ apical  repair; without salpin</t>
  </si>
  <si>
    <t>2346</t>
  </si>
  <si>
    <t>Vaginal hysterectomy, laparoscopy assisted (LAVH), with / without bila</t>
  </si>
  <si>
    <t>2357</t>
  </si>
  <si>
    <t xml:space="preserve">Vaginal hysterectomy and enterocoele/apical repair with unilateral or </t>
  </si>
  <si>
    <t>2360</t>
  </si>
  <si>
    <t xml:space="preserve">Insertion of mesh/other prosthesis for repair of pelvic floor defect, </t>
  </si>
  <si>
    <t>2361</t>
  </si>
  <si>
    <t>Vaginal hysterectomy, for uterus greater than 250 g; including colpo-u</t>
  </si>
  <si>
    <t>2362</t>
  </si>
  <si>
    <t>Enterocele repair, vaginal approach (stand alone code)</t>
  </si>
  <si>
    <t>2363</t>
  </si>
  <si>
    <t>Amputation of cervix and shortening of support ligaments of uterus for</t>
  </si>
  <si>
    <t>2369</t>
  </si>
  <si>
    <t>Repair of Vesico- or urethro-vaginal fistula</t>
  </si>
  <si>
    <t>2370</t>
  </si>
  <si>
    <t>Repair of VVF - Obstetric or radiation</t>
  </si>
  <si>
    <t>2371</t>
  </si>
  <si>
    <t>Closure of uretero-vaginal fistula with reimplantation of ureter to bl</t>
  </si>
  <si>
    <t>2373</t>
  </si>
  <si>
    <t>Closure of recto-vaginal fistula; vaginal or transanal approach</t>
  </si>
  <si>
    <t>2374</t>
  </si>
  <si>
    <t>Closure of rectovaginal fistula; abdominal approach</t>
  </si>
  <si>
    <t>2379</t>
  </si>
  <si>
    <t>Vaginal hysterectomy, radical  (Schauta type operation)</t>
  </si>
  <si>
    <t>2380</t>
  </si>
  <si>
    <t>Vaginectomy, simple, partial removal of vaginal wall</t>
  </si>
  <si>
    <t>2381</t>
  </si>
  <si>
    <t>Vaginectomy; simple, complete removal of vaginal wall</t>
  </si>
  <si>
    <t>2382</t>
  </si>
  <si>
    <t>Radical vaginectomy, complete removal of vaginal wall, with removal of</t>
  </si>
  <si>
    <t>2385</t>
  </si>
  <si>
    <t>Vaginal laceration or trauma: Repair</t>
  </si>
  <si>
    <t>2386</t>
  </si>
  <si>
    <t>2387</t>
  </si>
  <si>
    <t>2391</t>
  </si>
  <si>
    <t>Trachelorrhaphy, repair of uterine cervix/cervical canal, vaginal appr</t>
  </si>
  <si>
    <t>2395</t>
  </si>
  <si>
    <t>Cryo- or electro- conization of the cervix, with or without dilation &amp;</t>
  </si>
  <si>
    <t>2396</t>
  </si>
  <si>
    <t>Cautery, Laser or Harmonic scalpel treatment of the cervix</t>
  </si>
  <si>
    <t>2397</t>
  </si>
  <si>
    <t xml:space="preserve">Dilation of cervix for stenosis and insertion of prosthesis and Budge </t>
  </si>
  <si>
    <t>2399</t>
  </si>
  <si>
    <t>Biopsy of the cervix; single,multiple or local excision of a lesion in</t>
  </si>
  <si>
    <t>2407</t>
  </si>
  <si>
    <t>Simple trachelectomy / removal of cervix, vaginal or abdominal approac</t>
  </si>
  <si>
    <t>2408</t>
  </si>
  <si>
    <t>Radical trachelectomy, with bilateral total pelvic lymphadenectomy wit</t>
  </si>
  <si>
    <t>2409</t>
  </si>
  <si>
    <t>Cerclage of cervix, during pregnancy; vaginal</t>
  </si>
  <si>
    <t>2411</t>
  </si>
  <si>
    <t>Cervical cerclage: Shirodkar Suture</t>
  </si>
  <si>
    <t>2413</t>
  </si>
  <si>
    <t>Cerclage of cervix, during pregnancy; abdominal</t>
  </si>
  <si>
    <t>2416</t>
  </si>
  <si>
    <t>Removal of cervical cerclage  under anaesthesia (other than local)</t>
  </si>
  <si>
    <t>2421</t>
  </si>
  <si>
    <t>Removal of cervical stump, vaginal approach</t>
  </si>
  <si>
    <t>2422</t>
  </si>
  <si>
    <t>Removal of cervical stump, vaginal approach; with  enterocele / apical</t>
  </si>
  <si>
    <t>2423</t>
  </si>
  <si>
    <t>Removal of cervical stump, abdominal approach</t>
  </si>
  <si>
    <t>2424</t>
  </si>
  <si>
    <t>Removal of cervical stump, abdominal approach; with enterocele / apica</t>
  </si>
  <si>
    <t>2427</t>
  </si>
  <si>
    <t>Removal of pedunculated prolapsing cervical up to 4 myomas</t>
  </si>
  <si>
    <t>2429</t>
  </si>
  <si>
    <t>Colposcopy of vulva and/or vagina and/or cervix (excluding after-care)</t>
  </si>
  <si>
    <t>2432</t>
  </si>
  <si>
    <t>Hysteroscopic bilateral tubal occlusion with permanent implants</t>
  </si>
  <si>
    <t>2434</t>
  </si>
  <si>
    <t xml:space="preserve">Endometrial sampling/biopsy, any method (excluding after-care) (stand </t>
  </si>
  <si>
    <t>2435</t>
  </si>
  <si>
    <t>Catheterisation and introduction of saline or contrast material for sa</t>
  </si>
  <si>
    <t>2436</t>
  </si>
  <si>
    <t>Diagnostic Hysteroscopy (excluding after-care) (stand alone code)</t>
  </si>
  <si>
    <t>2437</t>
  </si>
  <si>
    <t xml:space="preserve">Hysteroscopy and sampling of the endometrium and/or polypectomy  with </t>
  </si>
  <si>
    <t>2438</t>
  </si>
  <si>
    <t>Hysteroscopy with division of and removal  of intra-uterine septum (an</t>
  </si>
  <si>
    <t>2439</t>
  </si>
  <si>
    <t>Hysteroscopy with lysis of intra-uterine adhesions (any method)(exclud</t>
  </si>
  <si>
    <t>2441</t>
  </si>
  <si>
    <t>Hysteroscopy and removal of myoma(s)</t>
  </si>
  <si>
    <t>2442</t>
  </si>
  <si>
    <t>Insertion of intra uterine contraceptive device (IUCD) (excluding afte</t>
  </si>
  <si>
    <t>2443</t>
  </si>
  <si>
    <t>Dilatation and curettage (D&amp;C) (excluding after-care)</t>
  </si>
  <si>
    <t>2447</t>
  </si>
  <si>
    <t>Treatment of incomplete abortion, any trimester, completed surgically</t>
  </si>
  <si>
    <t>2449</t>
  </si>
  <si>
    <t>Evacuation: Missed abortion: Before 12 weeks gestation</t>
  </si>
  <si>
    <t>2451</t>
  </si>
  <si>
    <t>Evacuation: Missed abortion: After 12 weeks gestation</t>
  </si>
  <si>
    <t>2452</t>
  </si>
  <si>
    <t>Termination of pregnancy after 12 weeks ; medical / induction of labou</t>
  </si>
  <si>
    <t>2453</t>
  </si>
  <si>
    <t>Evacuation and curettage hydatidiform mole</t>
  </si>
  <si>
    <t>2455</t>
  </si>
  <si>
    <t>Evacuation and curettage uterus postpartum</t>
  </si>
  <si>
    <t>2461</t>
  </si>
  <si>
    <t>Uterine suspension, with or without shortening of round ligaments, wit</t>
  </si>
  <si>
    <t>2463</t>
  </si>
  <si>
    <t>Uteroplasty for uterine anomaly, any method</t>
  </si>
  <si>
    <t>2466</t>
  </si>
  <si>
    <t>Laparotomy, myomectomy; &gt; 4 tumours or &gt; 250g</t>
  </si>
  <si>
    <t>2468</t>
  </si>
  <si>
    <t>Laparoscopy: Myomectomy up to 4 intramural myomas. (single or multiple</t>
  </si>
  <si>
    <t>2469</t>
  </si>
  <si>
    <t>Subtotal abdominal hysterectomy with or without unilateral or bilatera</t>
  </si>
  <si>
    <t>2470</t>
  </si>
  <si>
    <t xml:space="preserve">Laparoscopy: Subtotal abdominal hysterectomy, with or without removal </t>
  </si>
  <si>
    <t>2471</t>
  </si>
  <si>
    <t>Total abdominal hysterectomy; with or without  unilateral or bilateral</t>
  </si>
  <si>
    <t>2472</t>
  </si>
  <si>
    <t>Laparoscopy, total abdominal hysterectomy, with or without  unilateral</t>
  </si>
  <si>
    <t>2473</t>
  </si>
  <si>
    <t>Total abdominal hysterectomy, including partial vaginectomy, including</t>
  </si>
  <si>
    <t>2474</t>
  </si>
  <si>
    <t>Total abdominal hysterectomy and bilateral salpingo-oophorectomy and t</t>
  </si>
  <si>
    <t>2475</t>
  </si>
  <si>
    <t>Radical abdominal hysterectomy with bilateral total pelvic lymphadenec</t>
  </si>
  <si>
    <t>2476</t>
  </si>
  <si>
    <t>Laparoscopy, Radical abdominal hysterectomy with bilateral total pelvi</t>
  </si>
  <si>
    <t>2477</t>
  </si>
  <si>
    <t>Abdominal hysterotomy with or without sterilisation for e g hydatiform</t>
  </si>
  <si>
    <t>2478</t>
  </si>
  <si>
    <t>Surgical endometrial destruction, i.e. thermal-ablation, high-energy r</t>
  </si>
  <si>
    <t>2479</t>
  </si>
  <si>
    <t>Surgical endometrial destruction, utilising hysteroscopic equipment i.</t>
  </si>
  <si>
    <t>2481</t>
  </si>
  <si>
    <t>Insufflation of  Fallopian tubes; Transcervical introduction of cathet</t>
  </si>
  <si>
    <t>2483</t>
  </si>
  <si>
    <t>Salpingolysis; fallopian tube anatomy restored with preservation of fa</t>
  </si>
  <si>
    <t>2486</t>
  </si>
  <si>
    <t>Laparoscopy, Salpingostomy/ salpingoneostomy (stand alone code)</t>
  </si>
  <si>
    <t>2488</t>
  </si>
  <si>
    <t>Laparoscopy, Tuboplasty, tubal anastomosis or re-implantation (stand a</t>
  </si>
  <si>
    <t>2489</t>
  </si>
  <si>
    <t xml:space="preserve">Ectopic pregnancy; tubal or ovarian, requiring salpingectomy and / or </t>
  </si>
  <si>
    <t>2490</t>
  </si>
  <si>
    <t>Laparotomy for ectopic pregnancy; tubal or ovarian, without salpingect</t>
  </si>
  <si>
    <t>2491</t>
  </si>
  <si>
    <t>Laparotomy for abdominal ectopic pregnancy</t>
  </si>
  <si>
    <t>2492</t>
  </si>
  <si>
    <t>Salpingectomy: Uni- or bilateral or sterilisation for accepted medical</t>
  </si>
  <si>
    <t>2493</t>
  </si>
  <si>
    <t>Diagnostic laparoscopy (excluding after-care)</t>
  </si>
  <si>
    <t>2496</t>
  </si>
  <si>
    <t xml:space="preserve">Laparoscopy: Aspiration of a symptomatic functional cyst (Stand-alone </t>
  </si>
  <si>
    <t>2497</t>
  </si>
  <si>
    <t>Laparoscopy and sterilisation (occlusion of oviducts by device eg. ban</t>
  </si>
  <si>
    <t>2499</t>
  </si>
  <si>
    <t>Laparoscopy (diagnostic): with biopsy (single or multiple)(excluding a</t>
  </si>
  <si>
    <t>2500</t>
  </si>
  <si>
    <t>Laparoscopy (therapeutic): with fulguration or excision of superficial</t>
  </si>
  <si>
    <t>2501</t>
  </si>
  <si>
    <t>Laparoscopy (therapeutic) with lysis of adhesions (salpingolysis, ovar</t>
  </si>
  <si>
    <t>2510</t>
  </si>
  <si>
    <t>Laparoscopic treatment of etopic pregnancy; without salpingectomy and/</t>
  </si>
  <si>
    <t>2511</t>
  </si>
  <si>
    <t>Laparoscopic treatment of ectopic pregnancy; with salpingectomy and/or</t>
  </si>
  <si>
    <t>2527</t>
  </si>
  <si>
    <t>Removal of benign ovarian cyst(s) (unilateral or bilateral) (stand alo</t>
  </si>
  <si>
    <t>2528</t>
  </si>
  <si>
    <t>Laparoscopic salpingo- oophorectomy, uni- or bilateral</t>
  </si>
  <si>
    <t>2529</t>
  </si>
  <si>
    <t>Salpingo-oophorectomy, uni- or bilateral (stand alone code)</t>
  </si>
  <si>
    <t>2530</t>
  </si>
  <si>
    <t xml:space="preserve">Resection (initial) of suspected ovarian, tubal or primary peritoneal </t>
  </si>
  <si>
    <t>2531</t>
  </si>
  <si>
    <t>Resection (initial) of ovarian, tubal or primary peritoneal malignancy</t>
  </si>
  <si>
    <t>2532</t>
  </si>
  <si>
    <t>Total abdominal hysterectomy, resection (initial) of ovarian, tubal or</t>
  </si>
  <si>
    <t>2533</t>
  </si>
  <si>
    <t>Bilateral salpingo-oophorectomy with total omentectomy, total abdomina</t>
  </si>
  <si>
    <t>2534</t>
  </si>
  <si>
    <t xml:space="preserve">Resection (tumour cytoreduction) primary of recurrent ovarian, tubal, </t>
  </si>
  <si>
    <t>2539</t>
  </si>
  <si>
    <t>Pelvic exenteration for gynaecological malignancy, with or without hys</t>
  </si>
  <si>
    <t>2544</t>
  </si>
  <si>
    <t>Laparoscopic vaginal suspension for stress incontinence (item 1807 may</t>
  </si>
  <si>
    <t>2550</t>
  </si>
  <si>
    <t>Surgery for stress incontinence: Urethro-vesicopexy: Combined abdomina</t>
  </si>
  <si>
    <t>2552</t>
  </si>
  <si>
    <t>Removal benign retroperitoneal tumour (s)</t>
  </si>
  <si>
    <t>2553</t>
  </si>
  <si>
    <t>Radical removal of malignant retroperitoneal tumour</t>
  </si>
  <si>
    <t>2560</t>
  </si>
  <si>
    <t>Surgery (any method) for endometriosis AFS stage 3 (score 16-40). Exci</t>
  </si>
  <si>
    <t>2561</t>
  </si>
  <si>
    <t>Surgery (any method) for endometriosis AFS stage 4 (score &gt;40) Excisio</t>
  </si>
  <si>
    <t>2570</t>
  </si>
  <si>
    <t>Ligation of internal iliac vessels (when not part of another procedure</t>
  </si>
  <si>
    <t>2599</t>
  </si>
  <si>
    <t>Pregnancy reduction(s): Multifoetal (MPR)</t>
  </si>
  <si>
    <t>2600</t>
  </si>
  <si>
    <t>Foeticide (includes ultrasound guidance)</t>
  </si>
  <si>
    <t>2604</t>
  </si>
  <si>
    <t>Amniocentesis: Therapeutic, amniotic fluid reduction (includes ultraso</t>
  </si>
  <si>
    <t>2605</t>
  </si>
  <si>
    <t>Amniocentesis: Diagnostic</t>
  </si>
  <si>
    <t>2606</t>
  </si>
  <si>
    <t>Cordocentesis (intrauterine): Any method</t>
  </si>
  <si>
    <t>2608</t>
  </si>
  <si>
    <t>Foetal umbilical cord occlusion (TTTS) (includes ultrasound guidance)</t>
  </si>
  <si>
    <t>2609</t>
  </si>
  <si>
    <t>Transfusion, intrauterine: Foetal</t>
  </si>
  <si>
    <t>2612</t>
  </si>
  <si>
    <t>Foetal fluid drainage (eg., vesicocentesis, thoracocentesis, paracente</t>
  </si>
  <si>
    <t>2613</t>
  </si>
  <si>
    <t>Foetal shunt placement (includes ultrasound guidance)</t>
  </si>
  <si>
    <t>2614</t>
  </si>
  <si>
    <t>Global obstetric care: All inclusive fee that includes all modes of va</t>
  </si>
  <si>
    <t>2615</t>
  </si>
  <si>
    <t>Global obstetric care: All inclusive fee for caesarean section and obs</t>
  </si>
  <si>
    <t>2653</t>
  </si>
  <si>
    <t>Caesarean-hysterectomy</t>
  </si>
  <si>
    <t>2657</t>
  </si>
  <si>
    <t>Post-partum hysterectomy</t>
  </si>
  <si>
    <t>2669</t>
  </si>
  <si>
    <t>Abdominal operation for ruptured gravid uterus: Repair</t>
  </si>
  <si>
    <t>2702</t>
  </si>
  <si>
    <t>Total fee for audiological evaluation including bilateral AEP and bila</t>
  </si>
  <si>
    <t>2727</t>
  </si>
  <si>
    <t>Vertebral artery: Direct needling</t>
  </si>
  <si>
    <t>2729</t>
  </si>
  <si>
    <t>Vertebral catheterisation</t>
  </si>
  <si>
    <t>2749</t>
  </si>
  <si>
    <t>Catheterisation for ventriculography and/or drainage</t>
  </si>
  <si>
    <t>2751</t>
  </si>
  <si>
    <t>Biopsy of brain tumour</t>
  </si>
  <si>
    <t>2755</t>
  </si>
  <si>
    <t>Subdural empyema</t>
  </si>
  <si>
    <t>2757</t>
  </si>
  <si>
    <t>Brain abscess</t>
  </si>
  <si>
    <t>2767</t>
  </si>
  <si>
    <t>Suture brachial plexus (see also items 2837 and 2839)</t>
  </si>
  <si>
    <t>2777</t>
  </si>
  <si>
    <t>Nerve graft: Simple</t>
  </si>
  <si>
    <t>2800</t>
  </si>
  <si>
    <t>Procedures for pain relief: Plexus nerve block</t>
  </si>
  <si>
    <t>2802</t>
  </si>
  <si>
    <t>Procedures for pain relief: Peripheral nerve block</t>
  </si>
  <si>
    <t>2803</t>
  </si>
  <si>
    <t>Alcohol injection in peripheral nerves for pain: Unilateral</t>
  </si>
  <si>
    <t>2804</t>
  </si>
  <si>
    <t xml:space="preserve">Inserting an indwelling nerve catheter (includes removal of catheter) </t>
  </si>
  <si>
    <t>2805</t>
  </si>
  <si>
    <t>Alcohol injection in peripheral nerves for pain: Bilateral</t>
  </si>
  <si>
    <t>2809</t>
  </si>
  <si>
    <t>Peripheral nerve section for pain</t>
  </si>
  <si>
    <t>2827</t>
  </si>
  <si>
    <t>Transposition of ulnar nerve</t>
  </si>
  <si>
    <t>2837</t>
  </si>
  <si>
    <t>Brachial plexus, suture or neurolysis (item 2767)</t>
  </si>
  <si>
    <t>2839</t>
  </si>
  <si>
    <t>Total brachial plexus exposure with graft, neurolysis and transplantat</t>
  </si>
  <si>
    <t>2841</t>
  </si>
  <si>
    <t>Carpal Tunnel</t>
  </si>
  <si>
    <t>2846</t>
  </si>
  <si>
    <t>Cervical sympathectomy: Trans-thoracic approach (use item 2847 or item</t>
  </si>
  <si>
    <t>2847</t>
  </si>
  <si>
    <t>Cervical sympathectomy: Unilateral</t>
  </si>
  <si>
    <t>2848</t>
  </si>
  <si>
    <t>Cervical sympathectomy: Bilateral</t>
  </si>
  <si>
    <t>2853</t>
  </si>
  <si>
    <t>Sympathetic block: Other levels: Diagnostic/Therapeutic nerve block (u</t>
  </si>
  <si>
    <t>2855</t>
  </si>
  <si>
    <t>Removal of skull tumour: With or without plastic repair: Small</t>
  </si>
  <si>
    <t>2857</t>
  </si>
  <si>
    <t>Removal of skull tumour: With or without plastic repair: Major</t>
  </si>
  <si>
    <t>2859</t>
  </si>
  <si>
    <t>Repair of depressed fracture of skull: Without brain laceration: Major</t>
  </si>
  <si>
    <t>2860</t>
  </si>
  <si>
    <t>Repair of depressed fracture of skull: Without brain laceration: Small</t>
  </si>
  <si>
    <t>2861</t>
  </si>
  <si>
    <t>Repair of depressed fracture of skull: With brain lacerations: Small</t>
  </si>
  <si>
    <t>2862</t>
  </si>
  <si>
    <t>Repair of depressed fracture of skull: With brain lacerations: Major</t>
  </si>
  <si>
    <t>2871</t>
  </si>
  <si>
    <t>Ventriculo-caval shunt</t>
  </si>
  <si>
    <t>2873</t>
  </si>
  <si>
    <t>Ventriculo-peritoneal shunt</t>
  </si>
  <si>
    <t>2875</t>
  </si>
  <si>
    <t>Theco-peritoneal C.S.F. shunt</t>
  </si>
  <si>
    <t>2876</t>
  </si>
  <si>
    <t>Repair of aneurysms or arteriovenous anomalies (Intracranial)</t>
  </si>
  <si>
    <t>2877</t>
  </si>
  <si>
    <t>Extracranial to intracranial vascular</t>
  </si>
  <si>
    <t>2878</t>
  </si>
  <si>
    <t>Posterior fossa arteriovenous anomalies</t>
  </si>
  <si>
    <t>2879</t>
  </si>
  <si>
    <t>Glosso pharyngeal nerve</t>
  </si>
  <si>
    <t>2881</t>
  </si>
  <si>
    <t>Eighth nerve: Intracranial</t>
  </si>
  <si>
    <t>2886</t>
  </si>
  <si>
    <t>Posterior fossa decompression with or without laminectomy with or with</t>
  </si>
  <si>
    <t>2887</t>
  </si>
  <si>
    <t>Vestibular nerve</t>
  </si>
  <si>
    <t>2889</t>
  </si>
  <si>
    <t>Posterior fossa tumour removal: Acoustic neuroma, benign cerebello-pon</t>
  </si>
  <si>
    <t>2895</t>
  </si>
  <si>
    <t>Excision of tumour of glomus jugulare: Intracranial</t>
  </si>
  <si>
    <t>2899</t>
  </si>
  <si>
    <t>Craniectomy for extra-dural haematoma or empyema</t>
  </si>
  <si>
    <t>2900</t>
  </si>
  <si>
    <t>Craniotomy for Extra-dural orbital decompression or excision of orbita</t>
  </si>
  <si>
    <t>2901</t>
  </si>
  <si>
    <t>Craniotomy for Osteoplastic Flap for removal of: Meningioma, basal ext</t>
  </si>
  <si>
    <t>2903</t>
  </si>
  <si>
    <t>Craniotomy for Abscess, Glioma</t>
  </si>
  <si>
    <t>2904</t>
  </si>
  <si>
    <t>Craniotomy for Haematoma, foreign body: Cerebral or cerebellar</t>
  </si>
  <si>
    <t>2905</t>
  </si>
  <si>
    <t>Craniotomy for Focal epilepsy: Excision of cortical scar</t>
  </si>
  <si>
    <t>2906</t>
  </si>
  <si>
    <t>Craniotomy with anterior fossa meningocele and repair of bony skull de</t>
  </si>
  <si>
    <t>2907</t>
  </si>
  <si>
    <t>Craniotomy for Temporal lobectomy</t>
  </si>
  <si>
    <t>2908</t>
  </si>
  <si>
    <t>Craniotomy for Torkildsen anastomosis</t>
  </si>
  <si>
    <t>2909</t>
  </si>
  <si>
    <t>Craniotomy for CSF-leaks</t>
  </si>
  <si>
    <t>2910</t>
  </si>
  <si>
    <t>Craniotomy for removal of arteriovenous malformation</t>
  </si>
  <si>
    <t>2911</t>
  </si>
  <si>
    <t>Stereo-tactic cerebral and spinal cord procedure: First sitting</t>
  </si>
  <si>
    <t>2913</t>
  </si>
  <si>
    <t>Stereo-tactic cerebral and spinal cord procedure: Repeat</t>
  </si>
  <si>
    <t>2915</t>
  </si>
  <si>
    <t>Transnasal hypophysectomy</t>
  </si>
  <si>
    <t>2917</t>
  </si>
  <si>
    <t>Transnasal hypophyseal implants</t>
  </si>
  <si>
    <t>2937</t>
  </si>
  <si>
    <t>Repair of meningocele, involving nerve tissue</t>
  </si>
  <si>
    <t>2939</t>
  </si>
  <si>
    <t>Excision of arterial vascular malformations and cysts of the spinal co</t>
  </si>
  <si>
    <t>2941</t>
  </si>
  <si>
    <t>Cervical or thoracic osteophyte removal</t>
  </si>
  <si>
    <t>2953</t>
  </si>
  <si>
    <t>Carotis: For aneurysm (AV anomaly)</t>
  </si>
  <si>
    <t>2955</t>
  </si>
  <si>
    <t>Removal of carotid body tumour (without vascular reconstruction)</t>
  </si>
  <si>
    <t>2983</t>
  </si>
  <si>
    <t>Lobectomy: Partial</t>
  </si>
  <si>
    <t>2985</t>
  </si>
  <si>
    <t>Lobectomy: Total</t>
  </si>
  <si>
    <t>2987</t>
  </si>
  <si>
    <t>Thyroidectomy: Subtotal</t>
  </si>
  <si>
    <t>2989</t>
  </si>
  <si>
    <t>Thyroidectomy: Total</t>
  </si>
  <si>
    <t>2991</t>
  </si>
  <si>
    <t>Thyroglossal cyst or fistula excision</t>
  </si>
  <si>
    <t>2993</t>
  </si>
  <si>
    <t>Exploration of parathyroid glands for hyperparathyroidism including re</t>
  </si>
  <si>
    <t>2995</t>
  </si>
  <si>
    <t>Adrenalectomy: Unilateral</t>
  </si>
  <si>
    <t>2997</t>
  </si>
  <si>
    <t>Bilateral exploration of adrenal glands: Including removal</t>
  </si>
  <si>
    <t>2999</t>
  </si>
  <si>
    <t>Transethmoidal hypophysectomy</t>
  </si>
  <si>
    <t>3000</t>
  </si>
  <si>
    <t>Transnasal hypophysectomy (see also item 2915)</t>
  </si>
  <si>
    <t>3022</t>
  </si>
  <si>
    <t>Digital fluorescein video angiography</t>
  </si>
  <si>
    <t>3023</t>
  </si>
  <si>
    <t>Digital indocyanine video angiography</t>
  </si>
  <si>
    <t>3037</t>
  </si>
  <si>
    <t>Surgical treatment of retinal detachment including vitreous replacemen</t>
  </si>
  <si>
    <t>3039</t>
  </si>
  <si>
    <t xml:space="preserve">Prophylaxis and treatment of retina and choroid by cryotherapy and/or </t>
  </si>
  <si>
    <t>3041</t>
  </si>
  <si>
    <t>Pan retinal photocoagulation (per eye): Done in one sitting</t>
  </si>
  <si>
    <t>3044</t>
  </si>
  <si>
    <t>Removal of encircling band and/or buckling material</t>
  </si>
  <si>
    <t>3045</t>
  </si>
  <si>
    <t>Cataract: Intra-capsular</t>
  </si>
  <si>
    <t>3047</t>
  </si>
  <si>
    <t>Cataract: Extra-capsular (including capsulotomy)</t>
  </si>
  <si>
    <t>3049</t>
  </si>
  <si>
    <t>Insertion of lenticulus in addition to item 3045 or item 3047 (cost of</t>
  </si>
  <si>
    <t>3050</t>
  </si>
  <si>
    <t>Repositioning of intra ocular lens</t>
  </si>
  <si>
    <t>3051</t>
  </si>
  <si>
    <t>Needling or capsulotomy</t>
  </si>
  <si>
    <t>3052</t>
  </si>
  <si>
    <t>Laser capsulotomy</t>
  </si>
  <si>
    <t>3057</t>
  </si>
  <si>
    <t>Removal of lenticulus</t>
  </si>
  <si>
    <t>3058</t>
  </si>
  <si>
    <t>Exchange of intra ocular lens</t>
  </si>
  <si>
    <t>3059</t>
  </si>
  <si>
    <t>Insertion of lenticulus when item 3045 or item 3047 was not executed (</t>
  </si>
  <si>
    <t>3061</t>
  </si>
  <si>
    <t>Drainage operation</t>
  </si>
  <si>
    <t>3062</t>
  </si>
  <si>
    <t xml:space="preserve">Implantation of aqueous shunt device/seton in glaucoma (additional to </t>
  </si>
  <si>
    <t>3063</t>
  </si>
  <si>
    <t>Cyclocryotherapy or cyclodiathermy</t>
  </si>
  <si>
    <t>3064</t>
  </si>
  <si>
    <t>Laser trabeculoplasty</t>
  </si>
  <si>
    <t>3065</t>
  </si>
  <si>
    <t>Removal of blood from anterior chamber</t>
  </si>
  <si>
    <t>3067</t>
  </si>
  <si>
    <t>Goniotomy</t>
  </si>
  <si>
    <t>3071</t>
  </si>
  <si>
    <t>Intra-ocular foreign body: Anterior to Iris</t>
  </si>
  <si>
    <t>3073</t>
  </si>
  <si>
    <t>Intra-ocular foreign body: Posterior to Iris (including prophylactic t</t>
  </si>
  <si>
    <t>3075</t>
  </si>
  <si>
    <t>Strabismus (whether operation performed on one eye or both): Operation</t>
  </si>
  <si>
    <t>3076</t>
  </si>
  <si>
    <t>3077</t>
  </si>
  <si>
    <t>Strabismus (whether operation performed on one eye or both): Subsequen</t>
  </si>
  <si>
    <t>3078</t>
  </si>
  <si>
    <t>3079</t>
  </si>
  <si>
    <t>Transcleral biopsy</t>
  </si>
  <si>
    <t>3080</t>
  </si>
  <si>
    <t>Examination of eyes under general anaesthetic where no surgery is done</t>
  </si>
  <si>
    <t>3081</t>
  </si>
  <si>
    <t>Treatment of minor perforating injury</t>
  </si>
  <si>
    <t>3083</t>
  </si>
  <si>
    <t>Treatment of major perforating injury</t>
  </si>
  <si>
    <t>3085</t>
  </si>
  <si>
    <t>Enucleation or Evisceration</t>
  </si>
  <si>
    <t>3087</t>
  </si>
  <si>
    <t>Enucleation or Evisceration with mobile implant: Excluding cost of imp</t>
  </si>
  <si>
    <t>3088</t>
  </si>
  <si>
    <t>Hydroxyapetite insertion (additional to item 3087)</t>
  </si>
  <si>
    <t>3089</t>
  </si>
  <si>
    <t>Subconjunctival injection if not done at time of operation</t>
  </si>
  <si>
    <t>3090</t>
  </si>
  <si>
    <t>Intra vitreal injection drug</t>
  </si>
  <si>
    <t>3091</t>
  </si>
  <si>
    <t>Retrobulbar injection (if not done at time of operation)</t>
  </si>
  <si>
    <t>3093</t>
  </si>
  <si>
    <t>Treatment of tumours of retina or choriod by radioactive plaque and/or</t>
  </si>
  <si>
    <t>3094</t>
  </si>
  <si>
    <t>Implantation of intra vitreal drug delivery system</t>
  </si>
  <si>
    <t>3095</t>
  </si>
  <si>
    <t>Biopsy of vitreous body or anterior chamber contents</t>
  </si>
  <si>
    <t>3096</t>
  </si>
  <si>
    <t>Adding of air or gas in vitreous as a post-operative procedure or pneu</t>
  </si>
  <si>
    <t>3097</t>
  </si>
  <si>
    <t>Anterior vitrectomy</t>
  </si>
  <si>
    <t>3098</t>
  </si>
  <si>
    <t>Removal of silicon from globe</t>
  </si>
  <si>
    <t>3099</t>
  </si>
  <si>
    <t>Posterior vitrectomy including anterior vitrectomy, encircling of glob</t>
  </si>
  <si>
    <t>3100</t>
  </si>
  <si>
    <t>Lensectomy done at time of posterior vitrectomy</t>
  </si>
  <si>
    <t>3101</t>
  </si>
  <si>
    <t>Drainage of orbital abscess</t>
  </si>
  <si>
    <t>3103</t>
  </si>
  <si>
    <t>Orbit: Removal of tumour</t>
  </si>
  <si>
    <t>3104</t>
  </si>
  <si>
    <t>Removal orbital prosthesis</t>
  </si>
  <si>
    <t>3105</t>
  </si>
  <si>
    <t>Orbit: Exenteration</t>
  </si>
  <si>
    <t>3107</t>
  </si>
  <si>
    <t>Orbitotomy requiring bone flap</t>
  </si>
  <si>
    <t>3108</t>
  </si>
  <si>
    <t>Eye socket reconstruction</t>
  </si>
  <si>
    <t>3109</t>
  </si>
  <si>
    <t>Hydroxyapetite implantation in eye cavity when evisceration or enuclea</t>
  </si>
  <si>
    <t>3110</t>
  </si>
  <si>
    <t>Second stage hydroxyapetite implantation</t>
  </si>
  <si>
    <t>3116</t>
  </si>
  <si>
    <t>Astigmatic correction with T-cuts or wedge resection in pathological c</t>
  </si>
  <si>
    <t>3117</t>
  </si>
  <si>
    <t>Removal of foreign body: On the basis of fee per consultation</t>
  </si>
  <si>
    <t>3119</t>
  </si>
  <si>
    <t>Tattooing</t>
  </si>
  <si>
    <t>3120</t>
  </si>
  <si>
    <t>Excimer laser (per eye) for refractive keratectomy or Holmium laser th</t>
  </si>
  <si>
    <t>3121</t>
  </si>
  <si>
    <t>Corneal graft (Lamellar or full thickness)</t>
  </si>
  <si>
    <t>3122</t>
  </si>
  <si>
    <t>Epikeratophakia</t>
  </si>
  <si>
    <t>3123</t>
  </si>
  <si>
    <t>Insertion of intra-corneal or intrascleral prosthesis for refractive s</t>
  </si>
  <si>
    <t>3125</t>
  </si>
  <si>
    <t>Keratectomy</t>
  </si>
  <si>
    <t>3127</t>
  </si>
  <si>
    <t>Cauterisation of cornea (by chemical, thermal or cryotherapy methods)</t>
  </si>
  <si>
    <t>3128</t>
  </si>
  <si>
    <t>Radial keratotomy or keratoplasty for astigmatism (cosmetic unless med</t>
  </si>
  <si>
    <t>3130</t>
  </si>
  <si>
    <t>Pterygium or conjunctival cyst or conjunctival tumour. No conjunctival</t>
  </si>
  <si>
    <t>3131</t>
  </si>
  <si>
    <t>Cornea: Paracentesis</t>
  </si>
  <si>
    <t>3132</t>
  </si>
  <si>
    <t>Lamellar keratectomy for refractive surgery (LK, ALK, MLK)</t>
  </si>
  <si>
    <t>3133</t>
  </si>
  <si>
    <t>Probing and/or syringing, per duct</t>
  </si>
  <si>
    <t>3134</t>
  </si>
  <si>
    <t>Pterygium or conjunctival cyst or conjunctival tumour. Conjunctival fl</t>
  </si>
  <si>
    <t>3135</t>
  </si>
  <si>
    <t>Insert polythene tubes</t>
  </si>
  <si>
    <t>3136</t>
  </si>
  <si>
    <t>Conjunctival flap or graft (not for use with pterigium surgery)</t>
  </si>
  <si>
    <t>3137</t>
  </si>
  <si>
    <t>Excision of lacrimal sac: Unilateral</t>
  </si>
  <si>
    <t>3138</t>
  </si>
  <si>
    <t>Removal corneal epithelium and chelating agent for band keratopathy</t>
  </si>
  <si>
    <t>3139</t>
  </si>
  <si>
    <t>Dacrocystorhinostomy (Single) with or without polythene tube</t>
  </si>
  <si>
    <t>3141</t>
  </si>
  <si>
    <t>Sealing Punctum surgical or by cautery: Per eye</t>
  </si>
  <si>
    <t>3142</t>
  </si>
  <si>
    <t>Sealing Punctum with plugs: Per eye</t>
  </si>
  <si>
    <t>3143</t>
  </si>
  <si>
    <t>Three-snip operation</t>
  </si>
  <si>
    <t>3145</t>
  </si>
  <si>
    <t>Repair of caniculus: Primary procedure</t>
  </si>
  <si>
    <t>3147</t>
  </si>
  <si>
    <t>Repair of caniculus: Secondary procedure</t>
  </si>
  <si>
    <t>3149</t>
  </si>
  <si>
    <t>Iridectomy or iridotomy by open operation as isolated procedure</t>
  </si>
  <si>
    <t>3151</t>
  </si>
  <si>
    <t>Excision of iris tumour</t>
  </si>
  <si>
    <t>3153</t>
  </si>
  <si>
    <t>Iridectomy or iridotomy by laser or photocoagulation as isolated proce</t>
  </si>
  <si>
    <t>3155</t>
  </si>
  <si>
    <t>Iridocyclectomy for tumour</t>
  </si>
  <si>
    <t>3157</t>
  </si>
  <si>
    <t>Division of anterior synechiae as isolated procedure</t>
  </si>
  <si>
    <t>3158</t>
  </si>
  <si>
    <t>Repair iris as in dialysis: Anterior chamber reconstruction</t>
  </si>
  <si>
    <t>3161</t>
  </si>
  <si>
    <t>Tarsorrhaphy</t>
  </si>
  <si>
    <t>3163</t>
  </si>
  <si>
    <t>Excision of superficial lid tumour</t>
  </si>
  <si>
    <t>3165</t>
  </si>
  <si>
    <t>Repair of skin laceration lid: Simple</t>
  </si>
  <si>
    <t>3167</t>
  </si>
  <si>
    <t>Diathermy to wart on lid margin</t>
  </si>
  <si>
    <t>3171</t>
  </si>
  <si>
    <t xml:space="preserve">Excision of Meibomian cyst. Additional fee for sterile tray (see item </t>
  </si>
  <si>
    <t>3172</t>
  </si>
  <si>
    <t>Blepharoplasty lower eyelid plus fat pad</t>
  </si>
  <si>
    <t>3173</t>
  </si>
  <si>
    <t>Epicanthal folds</t>
  </si>
  <si>
    <t>3176</t>
  </si>
  <si>
    <t>Lid operation for facial nerve paralysis including tarsorrhaphy but ex</t>
  </si>
  <si>
    <t>3177</t>
  </si>
  <si>
    <t>Entropion or ectropion by Cautery</t>
  </si>
  <si>
    <t>3179</t>
  </si>
  <si>
    <t>Entropion or ectropion by Suture</t>
  </si>
  <si>
    <t>3181</t>
  </si>
  <si>
    <t>Entropion or ectropion by Open operation</t>
  </si>
  <si>
    <t>3183</t>
  </si>
  <si>
    <t>Entropion or ectropion by Free skin, mucosal grafting or flap</t>
  </si>
  <si>
    <t>3185</t>
  </si>
  <si>
    <t>Staged procedure for partial or total loss of eyelid: First stage</t>
  </si>
  <si>
    <t>3187</t>
  </si>
  <si>
    <t>Staged procedure for partial or total loss of eyelid: Subsequent stage</t>
  </si>
  <si>
    <t>3189</t>
  </si>
  <si>
    <t>Full thickness eyelid laceration for tumour or injury: Direct repair</t>
  </si>
  <si>
    <t>3191</t>
  </si>
  <si>
    <t>Blepharoplasty: Upper lid for improvement in function (unilateral)</t>
  </si>
  <si>
    <t>3193</t>
  </si>
  <si>
    <t>Repair by superior rectus, levator or frontalis muscle operation</t>
  </si>
  <si>
    <t>3195</t>
  </si>
  <si>
    <t>Ptosis: By lesser procedure e.g. sling operation: Unilateral</t>
  </si>
  <si>
    <t>3197</t>
  </si>
  <si>
    <t>Ptosis: By lesser procedure e.g. sling operation: Bilateral</t>
  </si>
  <si>
    <t>3199</t>
  </si>
  <si>
    <t>Repair of conjunctiva by grafting</t>
  </si>
  <si>
    <t>3200</t>
  </si>
  <si>
    <t>Repair of lacerated conjunctiva</t>
  </si>
  <si>
    <t>3205</t>
  </si>
  <si>
    <t>External ear canal: Removal of foreign body: Under general anaesthetic</t>
  </si>
  <si>
    <t>3207</t>
  </si>
  <si>
    <t>Myringotomy: Unilateral</t>
  </si>
  <si>
    <t>3209</t>
  </si>
  <si>
    <t>Myringotomy: Bilateral</t>
  </si>
  <si>
    <t>3211</t>
  </si>
  <si>
    <t>Unilateral myringotomy with insertion of ventilation tube</t>
  </si>
  <si>
    <t>3212</t>
  </si>
  <si>
    <t>Bilateral myringotomy with insertion of unilateral ventilation tube</t>
  </si>
  <si>
    <t>3213</t>
  </si>
  <si>
    <t>Bilateral myringotomy with insertion of bilateral ventilation tube (mo</t>
  </si>
  <si>
    <t>3214</t>
  </si>
  <si>
    <t>Reconstruction of middle ear ossicles (ossiculoplasty)</t>
  </si>
  <si>
    <t>3227</t>
  </si>
  <si>
    <t>Exploration of facial nerve: Exploration of tympanomastiod segment</t>
  </si>
  <si>
    <t>3228</t>
  </si>
  <si>
    <t>Exploration of facial nerve: Grafting of the tympanomastoid section (i</t>
  </si>
  <si>
    <t>3233</t>
  </si>
  <si>
    <t>Labyrinthectomy via the middle ear or mastoid</t>
  </si>
  <si>
    <t>3237</t>
  </si>
  <si>
    <t>Exploratory tympanotomy</t>
  </si>
  <si>
    <t>3239</t>
  </si>
  <si>
    <t>Acoustic neuroma removal translabyrinthine</t>
  </si>
  <si>
    <t>3244</t>
  </si>
  <si>
    <t xml:space="preserve">Fenestration and occulasion of the posterior semicircular canal (FOS) </t>
  </si>
  <si>
    <t>3245</t>
  </si>
  <si>
    <t>Functional reconstruction of tympanic membrane</t>
  </si>
  <si>
    <t>3246</t>
  </si>
  <si>
    <t>Cochlear implant surgery</t>
  </si>
  <si>
    <t>3249</t>
  </si>
  <si>
    <t>Stapedotomy and stapedectomy</t>
  </si>
  <si>
    <t>3257</t>
  </si>
  <si>
    <t>Cortical mastoidectomy</t>
  </si>
  <si>
    <t>3259</t>
  </si>
  <si>
    <t>Radical mastoidectomy (excluding minor procedures)</t>
  </si>
  <si>
    <t>3261</t>
  </si>
  <si>
    <t>Muscle grafting to mastoid cavity without tympanoplasty</t>
  </si>
  <si>
    <t>3263</t>
  </si>
  <si>
    <t>Autogenous bone graft to mastoid cavity</t>
  </si>
  <si>
    <t>3264</t>
  </si>
  <si>
    <t>Tympanomastoidectomy</t>
  </si>
  <si>
    <t>3265</t>
  </si>
  <si>
    <t>Reconstruction of posterior canal wall, following radical mastoid</t>
  </si>
  <si>
    <t>3266</t>
  </si>
  <si>
    <t>Gentamycin steroids instillation into the middle ear for Meniere's dis</t>
  </si>
  <si>
    <t>3267</t>
  </si>
  <si>
    <t>Major congenital deformity reconstruction of external ear: Unilateral</t>
  </si>
  <si>
    <t>3269</t>
  </si>
  <si>
    <t>Major congenital deformity reconstruction of external ear: Bilateral</t>
  </si>
  <si>
    <t>3271</t>
  </si>
  <si>
    <t>Partial or total reconstruction for congenital or traumatic absence or</t>
  </si>
  <si>
    <t>3335</t>
  </si>
  <si>
    <t>Myelography: Cervical</t>
  </si>
  <si>
    <t>3336</t>
  </si>
  <si>
    <t>Multiple (lumbar, thoracic, cervical): Same fee as for first segment (</t>
  </si>
  <si>
    <t>3415</t>
  </si>
  <si>
    <t xml:space="preserve">Biliary Tract: ERCP own equipment: Choledogram and/or pancreatography </t>
  </si>
  <si>
    <t>3416</t>
  </si>
  <si>
    <t xml:space="preserve">Pancreas: ERCP hospital equipment: Choledogram and/or pancreatography </t>
  </si>
  <si>
    <t>3557</t>
  </si>
  <si>
    <t>Catheterisation aorta or vena cava, any level, any route, with aortogr</t>
  </si>
  <si>
    <t>3558</t>
  </si>
  <si>
    <t>Translumbar aortic puncture, with full study</t>
  </si>
  <si>
    <t>3559</t>
  </si>
  <si>
    <t>Selective first order catheterisation, arterial or venous, with angiog</t>
  </si>
  <si>
    <t>3560</t>
  </si>
  <si>
    <t>Selective second order catheterisation, arterial or venous, with angio</t>
  </si>
  <si>
    <t>3562</t>
  </si>
  <si>
    <t>Selective third order catheterisation, arterial or venous, with angiog</t>
  </si>
  <si>
    <t>3566</t>
  </si>
  <si>
    <t>Guiding catheter placement, any site arterial or venous, for any intra</t>
  </si>
  <si>
    <t>3570</t>
  </si>
  <si>
    <t>Microcatheter insertion, any cranial vessel and/or pulmonary vessel, a</t>
  </si>
  <si>
    <t>3574</t>
  </si>
  <si>
    <t>Spinal angiogram (global fee) including all selective catheterisations</t>
  </si>
  <si>
    <t>3608</t>
  </si>
  <si>
    <t>Repeat mammography procedure with minimally invasive breast biopsy, co</t>
  </si>
  <si>
    <t>3610</t>
  </si>
  <si>
    <t>Transrectal ultrasonographic prostate volume study for prostate brachy</t>
  </si>
  <si>
    <t>3619</t>
  </si>
  <si>
    <t>Intravascular ultrasound imaging assesses the atheroschlerotic process</t>
  </si>
  <si>
    <t>1424</t>
  </si>
  <si>
    <t>Endovenous ablation of incompetent vein by radiofrequency or laser, in</t>
  </si>
  <si>
    <t>4785</t>
  </si>
  <si>
    <t>Extracorporeal membrane oxygenation (ECMO)/extracorporeal life support</t>
  </si>
  <si>
    <t>4786</t>
  </si>
  <si>
    <t>4788</t>
  </si>
  <si>
    <t xml:space="preserve">Extracorporeal membrane oxygenation(ECMO)/extracorporeal life support </t>
  </si>
  <si>
    <t>4789</t>
  </si>
  <si>
    <t>4790</t>
  </si>
  <si>
    <t>1274</t>
  </si>
  <si>
    <t>Percutaneous transluminal thrombectomy for clot extraction in native c</t>
  </si>
  <si>
    <t>4792</t>
  </si>
  <si>
    <t>4795</t>
  </si>
  <si>
    <t>4787</t>
  </si>
  <si>
    <t>4797</t>
  </si>
  <si>
    <t>Extracorporeal membrane oxygenation (ECMO) - repositioning central (ar</t>
  </si>
  <si>
    <t>4798</t>
  </si>
  <si>
    <t>4794</t>
  </si>
  <si>
    <t>1422</t>
  </si>
  <si>
    <t>4796</t>
  </si>
  <si>
    <t>4793</t>
  </si>
  <si>
    <t>4791</t>
  </si>
  <si>
    <t>4890</t>
  </si>
  <si>
    <t>Endoscopy: Sinus/nasal, with maxillary antrostomy</t>
  </si>
  <si>
    <t>4891</t>
  </si>
  <si>
    <t>Endoscopy: Sinus/nasal, with maxillary antrostomy and removal of tissu</t>
  </si>
  <si>
    <t>4892</t>
  </si>
  <si>
    <t>Endoscopy: Sinus/nasal, with partial, anterior ethmoidectomy</t>
  </si>
  <si>
    <t>4893</t>
  </si>
  <si>
    <t>Endoscopy: Sinus/nasal, with medial or inferior orbital wall decompres</t>
  </si>
  <si>
    <t>4896</t>
  </si>
  <si>
    <t xml:space="preserve">Sinusotomy: Obliterative frontal, with ablation, without osteoplastic </t>
  </si>
  <si>
    <t>4897</t>
  </si>
  <si>
    <t>4898</t>
  </si>
  <si>
    <t>Sinusotomy: Obliterative frontal, with osteoplastic flap, brow incisio</t>
  </si>
  <si>
    <t>4899</t>
  </si>
  <si>
    <t>Sinusotomy: Obliterative frontal, with osteoplastic flap, coronal inci</t>
  </si>
  <si>
    <t>4900</t>
  </si>
  <si>
    <t>Sinusotomy: Non-obliterative frontal, with osteoplastic flap, brow inc</t>
  </si>
  <si>
    <t>4901</t>
  </si>
  <si>
    <t xml:space="preserve">Sinusotomy: Non-obliterative frontal, with osteoplastic flap, coronal </t>
  </si>
  <si>
    <t>4985</t>
  </si>
  <si>
    <t>Corneal cross linking</t>
  </si>
  <si>
    <t>5002</t>
  </si>
  <si>
    <t>Percutaneous transluminal angioplasty: Aortic/IVC</t>
  </si>
  <si>
    <t>5004</t>
  </si>
  <si>
    <t>Percutaneous transluminal angioplasty, arterial or venous, iliac vesse</t>
  </si>
  <si>
    <t>5006</t>
  </si>
  <si>
    <t>Percutaneous transluminal angioplasty: Femoral to popliteal bifurcatio</t>
  </si>
  <si>
    <t>5008</t>
  </si>
  <si>
    <t>Percutaneous transluminal angioplasty: Sub-popliteal sub-brachial</t>
  </si>
  <si>
    <t>5010</t>
  </si>
  <si>
    <t>Percutaneous transluminal angioplasty: Renal/Visceral/Brachiocephalic</t>
  </si>
  <si>
    <t>5012</t>
  </si>
  <si>
    <t xml:space="preserve">Percutaneous transluminal angioplasty: Extracranial Carotid/Vertebral </t>
  </si>
  <si>
    <t>5018</t>
  </si>
  <si>
    <t xml:space="preserve">On-table thrombolysis/transcatheter infusion performed in angiography </t>
  </si>
  <si>
    <t>5022</t>
  </si>
  <si>
    <t>Embolisation non-intracranial, per vessel</t>
  </si>
  <si>
    <t>5026</t>
  </si>
  <si>
    <t>Ultrasound guided amniocentesis</t>
  </si>
  <si>
    <t>5030</t>
  </si>
  <si>
    <t>Percutaneous nephrostomy for further procedure or drainage</t>
  </si>
  <si>
    <t>5031</t>
  </si>
  <si>
    <t>Antegrade ureteric stent insertion</t>
  </si>
  <si>
    <t>5038</t>
  </si>
  <si>
    <t>Intracranial/spinal AVM embolisation (per session)</t>
  </si>
  <si>
    <t>5039</t>
  </si>
  <si>
    <t>Intracranial thrombolysis (on-table) per session</t>
  </si>
  <si>
    <t>5040</t>
  </si>
  <si>
    <t>Intracranial aneurysm occlusion</t>
  </si>
  <si>
    <t>5043</t>
  </si>
  <si>
    <t>Intracranial angioplasty</t>
  </si>
  <si>
    <t>5044</t>
  </si>
  <si>
    <t>Transhepatic portogram</t>
  </si>
  <si>
    <t>5045</t>
  </si>
  <si>
    <t>Hepatic arterial infusion catheter insertion</t>
  </si>
  <si>
    <t>5046</t>
  </si>
  <si>
    <t>Percutaneous biliary drainage (external)</t>
  </si>
  <si>
    <t>5047</t>
  </si>
  <si>
    <t>Combined internal/external biliary drainage</t>
  </si>
  <si>
    <t>5048</t>
  </si>
  <si>
    <t>Biliary stent insertion</t>
  </si>
  <si>
    <t>5049</t>
  </si>
  <si>
    <t>Percutaneous gall bladder drainage</t>
  </si>
  <si>
    <t>5050</t>
  </si>
  <si>
    <t>Percutaneous or renal gall bladder stone removal</t>
  </si>
  <si>
    <t>5058</t>
  </si>
  <si>
    <t>Stent insertion: Aortic/IVC - including percutaneous transluminal angi</t>
  </si>
  <si>
    <t>5060</t>
  </si>
  <si>
    <t xml:space="preserve">Stent insertion: Iliac/subclavian/AV fistula - including percutaneous </t>
  </si>
  <si>
    <t>5062</t>
  </si>
  <si>
    <t xml:space="preserve">Stent insertion: Femoral popliteal bifurcation, axillary and brachial </t>
  </si>
  <si>
    <t>5064</t>
  </si>
  <si>
    <t>Stent insertion: Sub-popliteal - including percutaneous transluminal a</t>
  </si>
  <si>
    <t>5066</t>
  </si>
  <si>
    <t>Stent insertion: Renal/visceral/brachiocephalic - including percutaneo</t>
  </si>
  <si>
    <t>5068</t>
  </si>
  <si>
    <t>Stent insertion: Extracranial carotid/vertebral - including percutaneo</t>
  </si>
  <si>
    <t>5070</t>
  </si>
  <si>
    <t>Stent insertion: Aorto-iliac stent graft - including percutaneous tran</t>
  </si>
  <si>
    <t>5072</t>
  </si>
  <si>
    <t>Tunnelled/subcutaneous arterial/venous line performed in radiology sui</t>
  </si>
  <si>
    <t>5074</t>
  </si>
  <si>
    <t>IVC filter insertion jugular or femoral route</t>
  </si>
  <si>
    <t>5076</t>
  </si>
  <si>
    <t>Intravascular foreign body removal, arterial or venous, any route</t>
  </si>
  <si>
    <t>5078</t>
  </si>
  <si>
    <t>Percutaneous sclerotherapy of an arteriovenous malformation (AVM)</t>
  </si>
  <si>
    <t>5080</t>
  </si>
  <si>
    <t>Transjugular intrahepatic porto-systemic shunt</t>
  </si>
  <si>
    <t>5082</t>
  </si>
  <si>
    <t>Transjugular liver biopsy</t>
  </si>
  <si>
    <t>5084</t>
  </si>
  <si>
    <t>Endoluminal fallopian tube recanalisation</t>
  </si>
  <si>
    <t>5088</t>
  </si>
  <si>
    <t>Oesophageal stent insertion in radiology suite</t>
  </si>
  <si>
    <t>5090</t>
  </si>
  <si>
    <t>Tracheal stent insertion</t>
  </si>
  <si>
    <t>5092</t>
  </si>
  <si>
    <t>Other GIT stent insertion</t>
  </si>
  <si>
    <t>5097</t>
  </si>
  <si>
    <t xml:space="preserve">Vertebroplasty - Introduction of stabilising material under screening </t>
  </si>
  <si>
    <t>5222</t>
  </si>
  <si>
    <t>Facial nerve surgery inside the internal auditory canal (if grafting i</t>
  </si>
  <si>
    <t>5223</t>
  </si>
  <si>
    <t>Vestibular neurectomy, removal of supra-labyrinthine tumours, or simil</t>
  </si>
  <si>
    <t>5224</t>
  </si>
  <si>
    <t>Removal of acoustic neuroma via the middle fossa approach</t>
  </si>
  <si>
    <t>5227</t>
  </si>
  <si>
    <t>Cochleo-vestibular neurectomy</t>
  </si>
  <si>
    <t>5229</t>
  </si>
  <si>
    <t>Facial nerve surgery in the internal auditory canal, translabyrinthine</t>
  </si>
  <si>
    <t>5232</t>
  </si>
  <si>
    <t>Removal of acoustic neuroma or cyst of the internal auditory canal</t>
  </si>
  <si>
    <t>5235</t>
  </si>
  <si>
    <t>Removal of tumour for the jugular foramen, internal carotid artery, pe</t>
  </si>
  <si>
    <t>5242</t>
  </si>
  <si>
    <t>Removal of nasopharyngeal angiofibroma or carcinoma</t>
  </si>
  <si>
    <t>5243</t>
  </si>
  <si>
    <t>Removal of tumour from the intratemporal fossa, pterygopalatine fossa,</t>
  </si>
  <si>
    <t>5247</t>
  </si>
  <si>
    <t>Subtotal petrosectomy for CSF leak and/or for total obliteration of th</t>
  </si>
  <si>
    <t>5250</t>
  </si>
  <si>
    <t>Partial mastoido-tympanectomy for malignancy of the deep lobe of the p</t>
  </si>
  <si>
    <t>5251</t>
  </si>
  <si>
    <t xml:space="preserve">Total mastoido-tympanectomy for more extensive malignancy of the deep </t>
  </si>
  <si>
    <t>5252</t>
  </si>
  <si>
    <t>Extended petrosectomy for extensive malignancy of the deep lobe of the</t>
  </si>
  <si>
    <t>5730</t>
  </si>
  <si>
    <t>Hallux Valgus double osteotomy etc.</t>
  </si>
  <si>
    <t>5731</t>
  </si>
  <si>
    <t>Distal soft tissue procedure for Hallux Valgus</t>
  </si>
  <si>
    <t>5734</t>
  </si>
  <si>
    <t>Removal bony prominence foot e.g. bunionette (e.g. Bunionette not appl</t>
  </si>
  <si>
    <t>5743</t>
  </si>
  <si>
    <t>Capsulotomy metatarsophalangeal joints: Foot</t>
  </si>
  <si>
    <t>5755</t>
  </si>
  <si>
    <t xml:space="preserve">Laminectomy for spinal stenosis (exclude diskectomy, foraminotomy and </t>
  </si>
  <si>
    <t>5756</t>
  </si>
  <si>
    <t>Laminectomy with full decompression for spondylolisthesis (Gill proced</t>
  </si>
  <si>
    <t>5757</t>
  </si>
  <si>
    <t xml:space="preserve">Laminectomy for decompression without foraminotomy or diskectory more </t>
  </si>
  <si>
    <t>5758</t>
  </si>
  <si>
    <t>Laminectomy with decompression of nerve roots and disc removal: Each a</t>
  </si>
  <si>
    <t>5759</t>
  </si>
  <si>
    <t>Laminectomy for decompression diskectomy, etc. revision operation</t>
  </si>
  <si>
    <t>5760</t>
  </si>
  <si>
    <t>Laminectomy, facetectomy, decompression for lateral recess stenosis pl</t>
  </si>
  <si>
    <t>5761</t>
  </si>
  <si>
    <t>5763</t>
  </si>
  <si>
    <t>Anterior disc removal and spinal decompression cervical: One level</t>
  </si>
  <si>
    <t>5764</t>
  </si>
  <si>
    <t>Anterior disc removal and spinal decompression cervical: Each addition</t>
  </si>
  <si>
    <t>5765</t>
  </si>
  <si>
    <t>Vertebral corpectomy for spinal decompression: One level</t>
  </si>
  <si>
    <t>5766</t>
  </si>
  <si>
    <t>Vertebral corpectomy for spinal decompression: Each additional level</t>
  </si>
  <si>
    <t>6200</t>
  </si>
  <si>
    <t>Magnetic Resonance Imaging: Per anatomical region: Brain</t>
  </si>
  <si>
    <t>6202</t>
  </si>
  <si>
    <t>Magnetic Resonance Imaging: Per anatomical region: Paranasal sinuses</t>
  </si>
  <si>
    <t>6203</t>
  </si>
  <si>
    <t>Magnetic Resonance Imaging: Per anatomical region: Soft tissue: Face/s</t>
  </si>
  <si>
    <t>6204</t>
  </si>
  <si>
    <t>Magnetic Resonance Imaging: Per anatomical region: Skull basis/cranio-</t>
  </si>
  <si>
    <t>6205</t>
  </si>
  <si>
    <t>Magnetic Resonance Imaging: Per anatomical region: Middle and internal</t>
  </si>
  <si>
    <t>6207</t>
  </si>
  <si>
    <t>Magnetic Resonance Imaging: Per anatomical region: Thyroid/para-thyroi</t>
  </si>
  <si>
    <t>6210</t>
  </si>
  <si>
    <t>Magnetic Resonance Imaging: Per anatomical region: Cervical vertebrae</t>
  </si>
  <si>
    <t>6211</t>
  </si>
  <si>
    <t>Magnetic Resonance Imaging: Per anatomical region: Thoracic vertebrae</t>
  </si>
  <si>
    <t>6212</t>
  </si>
  <si>
    <t>Magnetic Resonance Imaging: Per anatomical region: Lumbar vertebrae</t>
  </si>
  <si>
    <t>6218</t>
  </si>
  <si>
    <t>Magnetic Resonance Imaging: Per anatomical region: Mediastinum</t>
  </si>
  <si>
    <t>6220</t>
  </si>
  <si>
    <t>Magnetic Resonance Imaging: Per anatomical region: Left shoulder</t>
  </si>
  <si>
    <t>6221</t>
  </si>
  <si>
    <t>Magnetic Resonance Imaging: Per anatomical region: Right shoulder</t>
  </si>
  <si>
    <t>6231</t>
  </si>
  <si>
    <t>Magnetic Resonance Imaging: Per anatomical region: Left wrist and hand</t>
  </si>
  <si>
    <t>6232</t>
  </si>
  <si>
    <t>Magnetic Resonance Imaging: Per anatomical region: Right wrist and han</t>
  </si>
  <si>
    <t>6239</t>
  </si>
  <si>
    <t>Magnetic Resonance Imaging: Per anatomical region: Left ankle</t>
  </si>
  <si>
    <t>6240</t>
  </si>
  <si>
    <t>Magnetic Resonance Imaging: Per anatomical region: Right ankle</t>
  </si>
  <si>
    <t>6250</t>
  </si>
  <si>
    <t>Magnetic Resonance angiography (See modifiers 6106 to 6108): Brain</t>
  </si>
  <si>
    <t>6255</t>
  </si>
  <si>
    <t>Magnetic Resonance angiography (See modifiers 6106 to 6108): Heart</t>
  </si>
  <si>
    <t>6270</t>
  </si>
  <si>
    <t>Low field strength peripheral joint magnetic resonance imaging: Low fi</t>
  </si>
  <si>
    <t>6409</t>
  </si>
  <si>
    <t>CT brain uncontrasted (including posterior fossa)</t>
  </si>
  <si>
    <t>6410</t>
  </si>
  <si>
    <t>CT brain with contrast only (including posterior fossa)</t>
  </si>
  <si>
    <t>6411</t>
  </si>
  <si>
    <t>CT brain pre AND post contrast (including posterior fossa)</t>
  </si>
  <si>
    <t>6416</t>
  </si>
  <si>
    <t>CT paranasal sinuses limited study axial OR coronal</t>
  </si>
  <si>
    <t>6417</t>
  </si>
  <si>
    <t>CT paranasal sinuses limited study axial AND coronal</t>
  </si>
  <si>
    <t>6418</t>
  </si>
  <si>
    <t>CT paranasal sinuses complete study, axial or coronal, uncontrasted</t>
  </si>
  <si>
    <t>6419</t>
  </si>
  <si>
    <t>CT paranasal sinuses complete study, axial AND coronal, uncontrasted</t>
  </si>
  <si>
    <t>6420</t>
  </si>
  <si>
    <t>CT paranasal sinuses complete study, axial OR coronal, pre AND post co</t>
  </si>
  <si>
    <t>6421</t>
  </si>
  <si>
    <t>CT paranasal sinuses complete study, axial AND coronal, pre AND post c</t>
  </si>
  <si>
    <t>6426</t>
  </si>
  <si>
    <t>CT mastoids</t>
  </si>
  <si>
    <t>6427</t>
  </si>
  <si>
    <t>CT ear structures, limited study</t>
  </si>
  <si>
    <t>6428</t>
  </si>
  <si>
    <t>CT middle AND inner ear, complete study including reconstructions</t>
  </si>
  <si>
    <t>6433</t>
  </si>
  <si>
    <t>CT cervical spine uncontrasted</t>
  </si>
  <si>
    <t>6434</t>
  </si>
  <si>
    <t>CT cervical spine pre AND post contrast</t>
  </si>
  <si>
    <t>6435</t>
  </si>
  <si>
    <t>CT cervical spine post myelogram</t>
  </si>
  <si>
    <t>6436</t>
  </si>
  <si>
    <t>CT dorsal spine uncontrasted</t>
  </si>
  <si>
    <t>6437</t>
  </si>
  <si>
    <t>CT dorsal spine pre AND post contrast</t>
  </si>
  <si>
    <t>6438</t>
  </si>
  <si>
    <t>CT dorsal spine post myelogram</t>
  </si>
  <si>
    <t>6439</t>
  </si>
  <si>
    <t>CT lumbar spine uncontrasted</t>
  </si>
  <si>
    <t>6440</t>
  </si>
  <si>
    <t>CT lumbar spine pre AND post contrast</t>
  </si>
  <si>
    <t>6441</t>
  </si>
  <si>
    <t>CT lumbar spine post myelogram</t>
  </si>
  <si>
    <t>6446</t>
  </si>
  <si>
    <t>CT chest high resolution lungs, limited study</t>
  </si>
  <si>
    <t>6447</t>
  </si>
  <si>
    <t>CT high resolution lungs, complete study</t>
  </si>
  <si>
    <t>6459</t>
  </si>
  <si>
    <t>CT base of skull to symphysis pubis with contrast</t>
  </si>
  <si>
    <t>6470</t>
  </si>
  <si>
    <t>Triphasic study of the liver with CT Abdomen and Pelvis pre and post c</t>
  </si>
  <si>
    <t>6471</t>
  </si>
  <si>
    <t>CT of the chest, triphasic study of the liver, abdomen and pelvis with</t>
  </si>
  <si>
    <t>1085A</t>
  </si>
  <si>
    <t>PlanID</t>
  </si>
  <si>
    <t>Label</t>
  </si>
  <si>
    <t>Multiplier</t>
  </si>
  <si>
    <t>Loc</t>
  </si>
  <si>
    <t>classic_ih</t>
  </si>
  <si>
    <t>Classic Direct (In-Hospital)</t>
  </si>
  <si>
    <t>ih</t>
  </si>
  <si>
    <t>classic_oh</t>
  </si>
  <si>
    <t>Classic Direct (Day Case / OH)</t>
  </si>
  <si>
    <t>oh</t>
  </si>
  <si>
    <t>executive</t>
  </si>
  <si>
    <t>Executive</t>
  </si>
  <si>
    <t>essential</t>
  </si>
  <si>
    <t>Essential / Coastal</t>
  </si>
  <si>
    <t>other_ma</t>
  </si>
  <si>
    <t>Other Medical Aids</t>
  </si>
  <si>
    <t>ModCode</t>
  </si>
  <si>
    <t>Units</t>
  </si>
  <si>
    <t>UnitType</t>
  </si>
  <si>
    <t>Category</t>
  </si>
  <si>
    <t>43</t>
  </si>
  <si>
    <t>Age &lt; 1 year or &gt; 70 years</t>
  </si>
  <si>
    <t>an</t>
  </si>
  <si>
    <t>Patient</t>
  </si>
  <si>
    <t>34</t>
  </si>
  <si>
    <t>Head and Neck procedure</t>
  </si>
  <si>
    <t>Procedure</t>
  </si>
  <si>
    <t>18</t>
  </si>
  <si>
    <t>BMI modifier</t>
  </si>
  <si>
    <t>Arterial line (A-line)</t>
  </si>
  <si>
    <t>cl</t>
  </si>
  <si>
    <t>Monitoring</t>
  </si>
  <si>
    <t>Central Venous Pressure (CVP)</t>
  </si>
  <si>
    <t>CVP - Long line (peripheral)</t>
  </si>
  <si>
    <t>2799</t>
  </si>
  <si>
    <t>Spinal anaesthesia (intrathecal)</t>
  </si>
  <si>
    <t>Regional</t>
  </si>
  <si>
    <t>Plexus block</t>
  </si>
  <si>
    <t>2801</t>
  </si>
  <si>
    <t>Epidural</t>
  </si>
  <si>
    <t>Peripheral nerve block</t>
  </si>
  <si>
    <t>1780</t>
  </si>
  <si>
    <t>Nasogastric tube insertion</t>
  </si>
  <si>
    <t>Laparoscope modifier</t>
  </si>
  <si>
    <t>PCA pump (first 24 hours)</t>
  </si>
  <si>
    <t>ConsCode</t>
  </si>
  <si>
    <t>IH</t>
  </si>
  <si>
    <t>OH</t>
  </si>
  <si>
    <t>151</t>
  </si>
  <si>
    <t>Pre-anaesthetic Assessment</t>
  </si>
  <si>
    <t>152</t>
  </si>
  <si>
    <t>Pre-anaesthetic Assessment (detailed, 20-35 min)</t>
  </si>
  <si>
    <t>153</t>
  </si>
  <si>
    <t>Pre-anaesthetic Assessment (complex, 30-45 min)</t>
  </si>
  <si>
    <t>146</t>
  </si>
  <si>
    <t>Emergency Consult (at rooms)</t>
  </si>
  <si>
    <t>147</t>
  </si>
  <si>
    <t>Emergency Consult &amp; Travel</t>
  </si>
  <si>
    <t>109</t>
  </si>
  <si>
    <t>Hospital Follow-up Visit</t>
  </si>
  <si>
    <t>145</t>
  </si>
  <si>
    <t>Consultation away from rooms (non-emergency)</t>
  </si>
  <si>
    <t>107</t>
  </si>
  <si>
    <t>Newborn Attendance (C/S or delivery)</t>
  </si>
  <si>
    <t>113</t>
  </si>
  <si>
    <t>Newborn Emergency Attendance</t>
  </si>
  <si>
    <t>130</t>
  </si>
  <si>
    <t>Telephone Consultation</t>
  </si>
  <si>
    <t>173</t>
  </si>
  <si>
    <t>First Hospital Consultation</t>
  </si>
  <si>
    <t>190</t>
  </si>
  <si>
    <t>Consultation (new/established patient)</t>
  </si>
  <si>
    <t>ICD-10</t>
  </si>
  <si>
    <t>Surgeon</t>
  </si>
  <si>
    <t>Rate Plan</t>
  </si>
  <si>
    <t>Procedure Code</t>
  </si>
  <si>
    <t>Anaesthetic Minutes</t>
  </si>
  <si>
    <t>Emergency? (Yes/No)</t>
  </si>
  <si>
    <t>No</t>
  </si>
  <si>
    <t>Emergency Minutes</t>
  </si>
  <si>
    <t>Consult 1</t>
  </si>
  <si>
    <t>Consult 2</t>
  </si>
  <si>
    <t>Consult 3</t>
  </si>
  <si>
    <t>Modifier Code</t>
  </si>
  <si>
    <t>Enabled (Yes/No)</t>
  </si>
  <si>
    <t>Plan Multiplier</t>
  </si>
  <si>
    <t>Plan Location</t>
  </si>
  <si>
    <t>Proc RVU</t>
  </si>
  <si>
    <t>Proc UnitPrice_exclVAT</t>
  </si>
  <si>
    <t>Anaes Minutes</t>
  </si>
  <si>
    <t>Has BMI</t>
  </si>
  <si>
    <t>Effective Minutes</t>
  </si>
  <si>
    <t>Time Units</t>
  </si>
  <si>
    <t>Anaes Unit Price exclVAT</t>
  </si>
  <si>
    <t>Anaes Amount exclVAT</t>
  </si>
  <si>
    <t>Emergency Blocks</t>
  </si>
  <si>
    <t>Clinical unit price exclVAT</t>
  </si>
  <si>
    <t>Emergency Unit Price per block exclVAT</t>
  </si>
  <si>
    <t>Emergency Amount exclVAT</t>
  </si>
  <si>
    <t>Modifiers Amount exclVAT</t>
  </si>
  <si>
    <t>Anaesthetic Quote (2026)</t>
  </si>
  <si>
    <t>Workings</t>
  </si>
  <si>
    <t>Plan</t>
  </si>
  <si>
    <t>Minutes</t>
  </si>
  <si>
    <t>Qty</t>
  </si>
  <si>
    <t>Unit Price exclVAT</t>
  </si>
  <si>
    <t>VAT%</t>
  </si>
  <si>
    <t>Amount exclVAT</t>
  </si>
  <si>
    <t>Proc Unit Price (ex VAT)</t>
  </si>
  <si>
    <t>15%</t>
  </si>
  <si>
    <t>Anaes Unit Price (ex VAT)</t>
  </si>
  <si>
    <t>0023</t>
  </si>
  <si>
    <t>Emergency Block Price (ex VAT)</t>
  </si>
  <si>
    <t>MODS</t>
  </si>
  <si>
    <t>Modifiers (total)</t>
  </si>
  <si>
    <t>Modifiers Amount (ex VAT)</t>
  </si>
  <si>
    <t>Subtotal (excl VAT)</t>
  </si>
  <si>
    <t>VAT (15%)</t>
  </si>
  <si>
    <t>Total (incl VAT)</t>
  </si>
  <si>
    <t>Yes</t>
  </si>
  <si>
    <t>K01.1</t>
  </si>
  <si>
    <t>Dr N Vafaei )pr. 0662747)</t>
  </si>
  <si>
    <t>John Shirley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</si>
</sst>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 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2F5597"/>
      </patternFill>
    </fill>
    <fill>
      <patternFill patternType="solid">
        <fgColor rgb="FFD9E1F2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medium">
        <color indexed="64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medium">
        <color indexed="64"/>
      </bottom>
      <diagonal/>
    </border>
    <border>
      <left style="medium">
        <color indexed="64"/>
      </left>
      <right style="thin">
        <color rgb="FFD9D9D9"/>
      </right>
      <top/>
      <bottom/>
      <diagonal/>
    </border>
    <border>
      <left style="thin">
        <color rgb="FFD9D9D9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D9D9D9"/>
      </right>
      <top style="medium">
        <color indexed="64"/>
      </top>
      <bottom style="medium">
        <color indexed="64"/>
      </bottom>
      <diagonal/>
    </border>
    <border>
      <left style="thin">
        <color rgb="FFD9D9D9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1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164" fontId="0" fillId="0" borderId="0" xfId="0" applyNumberFormat="1"/>
    <xf numFmtId="0" fontId="1" fillId="0" borderId="1" xfId="0" applyFon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/>
    <xf numFmtId="0" fontId="0" fillId="0" borderId="10" xfId="0" applyBorder="1"/>
    <xf numFmtId="0" fontId="1" fillId="2" borderId="11" xfId="0" applyFont="1" applyFill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ROCS" displayName="tbl_PROCS" ref="A7:E1271">
  <autoFilter ref="A7:E1271" xr:uid="{00000000-0009-0000-0100-000001000000}"/>
  <tableColumns count="5">
    <tableColumn id="1" xr3:uid="{00000000-0010-0000-0000-000001000000}" name="Code"/>
    <tableColumn id="2" xr3:uid="{00000000-0010-0000-0000-000002000000}" name="Description"/>
    <tableColumn id="3" xr3:uid="{00000000-0010-0000-0000-000003000000}" name="RVU"/>
    <tableColumn id="4" xr3:uid="{00000000-0010-0000-0000-000004000000}" name="BaseAmount"/>
    <tableColumn id="5" xr3:uid="{00000000-0010-0000-0000-000005000000}" name="SpecialtyIndex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PLANS" displayName="tbl_PLANS" ref="A1273:D1278">
  <autoFilter ref="A1273:D1278" xr:uid="{00000000-0009-0000-0100-000002000000}"/>
  <tableColumns count="4">
    <tableColumn id="1" xr3:uid="{00000000-0010-0000-0100-000001000000}" name="PlanID"/>
    <tableColumn id="2" xr3:uid="{00000000-0010-0000-0100-000002000000}" name="Label"/>
    <tableColumn id="3" xr3:uid="{00000000-0010-0000-0100-000003000000}" name="Multiplier"/>
    <tableColumn id="4" xr3:uid="{00000000-0010-0000-0100-000004000000}" name="Loc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MODS" displayName="tbl_MODS" ref="A1280:E1293">
  <autoFilter ref="A1280:E1293" xr:uid="{00000000-0009-0000-0100-000003000000}"/>
  <tableColumns count="5">
    <tableColumn id="1" xr3:uid="{00000000-0010-0000-0200-000001000000}" name="ModCode"/>
    <tableColumn id="2" xr3:uid="{00000000-0010-0000-0200-000002000000}" name="Description"/>
    <tableColumn id="3" xr3:uid="{00000000-0010-0000-0200-000003000000}" name="Units"/>
    <tableColumn id="4" xr3:uid="{00000000-0010-0000-0200-000004000000}" name="UnitType"/>
    <tableColumn id="5" xr3:uid="{00000000-0010-0000-0200-000005000000}" name="Category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CONSULTS" displayName="tbl_CONSULTS" ref="A1295:D1307">
  <autoFilter ref="A1295:D1307" xr:uid="{00000000-0009-0000-0100-000004000000}"/>
  <tableColumns count="4">
    <tableColumn id="1" xr3:uid="{00000000-0010-0000-0300-000001000000}" name="ConsCode"/>
    <tableColumn id="2" xr3:uid="{00000000-0010-0000-0300-000002000000}" name="Description"/>
    <tableColumn id="3" xr3:uid="{00000000-0010-0000-0300-000003000000}" name="IH"/>
    <tableColumn id="4" xr3:uid="{00000000-0010-0000-0300-000004000000}" name="OH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07"/>
  <sheetViews>
    <sheetView workbookViewId="0"/>
  </sheetViews>
  <sheetFormatPr defaultRowHeight="15" x14ac:dyDescent="0.25"/>
  <cols>
    <col min="1" max="5" width="30" customWidth="1"/>
  </cols>
  <sheetData>
    <row r="1" spans="1:5" x14ac:dyDescent="0.25">
      <c r="A1" t="s">
        <v>0</v>
      </c>
      <c r="B1">
        <v>283.85599999999999</v>
      </c>
    </row>
    <row r="2" spans="1:5" x14ac:dyDescent="0.25">
      <c r="A2" t="s">
        <v>1</v>
      </c>
      <c r="B2">
        <v>39.981999999999999</v>
      </c>
    </row>
    <row r="3" spans="1:5" x14ac:dyDescent="0.25">
      <c r="A3" t="s">
        <v>2</v>
      </c>
      <c r="B3">
        <v>0.15</v>
      </c>
    </row>
    <row r="4" spans="1:5" x14ac:dyDescent="0.25">
      <c r="A4" t="s">
        <v>3</v>
      </c>
      <c r="B4">
        <v>139.1450980392157</v>
      </c>
    </row>
    <row r="5" spans="1:5" x14ac:dyDescent="0.25">
      <c r="A5" t="s">
        <v>4</v>
      </c>
      <c r="B5">
        <v>19.59901960784314</v>
      </c>
    </row>
    <row r="7" spans="1:5" x14ac:dyDescent="0.25">
      <c r="A7" t="s">
        <v>5</v>
      </c>
      <c r="B7" t="s">
        <v>6</v>
      </c>
      <c r="C7" t="s">
        <v>7</v>
      </c>
      <c r="D7" t="s">
        <v>8</v>
      </c>
      <c r="E7" t="s">
        <v>9</v>
      </c>
    </row>
    <row r="8" spans="1:5" x14ac:dyDescent="0.25">
      <c r="A8" t="s">
        <v>10</v>
      </c>
      <c r="B8" t="s">
        <v>11</v>
      </c>
      <c r="C8">
        <v>4</v>
      </c>
      <c r="D8">
        <v>1135.4000000000001</v>
      </c>
      <c r="E8">
        <v>10</v>
      </c>
    </row>
    <row r="9" spans="1:5" x14ac:dyDescent="0.25">
      <c r="A9" t="s">
        <v>12</v>
      </c>
      <c r="B9" t="s">
        <v>13</v>
      </c>
      <c r="C9">
        <v>3</v>
      </c>
      <c r="D9">
        <v>851.6</v>
      </c>
      <c r="E9">
        <v>10</v>
      </c>
    </row>
    <row r="10" spans="1:5" x14ac:dyDescent="0.25">
      <c r="A10" t="s">
        <v>14</v>
      </c>
      <c r="B10" t="s">
        <v>15</v>
      </c>
      <c r="C10">
        <v>3</v>
      </c>
      <c r="D10">
        <v>851.6</v>
      </c>
      <c r="E10">
        <v>10</v>
      </c>
    </row>
    <row r="11" spans="1:5" x14ac:dyDescent="0.25">
      <c r="A11" t="s">
        <v>16</v>
      </c>
      <c r="B11" t="s">
        <v>17</v>
      </c>
      <c r="C11">
        <v>3</v>
      </c>
      <c r="D11">
        <v>851.6</v>
      </c>
      <c r="E11">
        <v>10</v>
      </c>
    </row>
    <row r="12" spans="1:5" x14ac:dyDescent="0.25">
      <c r="A12" t="s">
        <v>18</v>
      </c>
      <c r="B12" t="s">
        <v>19</v>
      </c>
      <c r="C12">
        <v>3</v>
      </c>
      <c r="D12">
        <v>851.6</v>
      </c>
      <c r="E12">
        <v>10</v>
      </c>
    </row>
    <row r="13" spans="1:5" x14ac:dyDescent="0.25">
      <c r="A13" t="s">
        <v>20</v>
      </c>
      <c r="B13" t="s">
        <v>21</v>
      </c>
      <c r="C13">
        <v>3</v>
      </c>
      <c r="D13">
        <v>851.6</v>
      </c>
      <c r="E13">
        <v>10</v>
      </c>
    </row>
    <row r="14" spans="1:5" x14ac:dyDescent="0.25">
      <c r="A14" t="s">
        <v>22</v>
      </c>
      <c r="B14" t="s">
        <v>23</v>
      </c>
      <c r="C14">
        <v>3</v>
      </c>
      <c r="D14">
        <v>851.6</v>
      </c>
      <c r="E14">
        <v>10</v>
      </c>
    </row>
    <row r="15" spans="1:5" x14ac:dyDescent="0.25">
      <c r="A15" t="s">
        <v>24</v>
      </c>
      <c r="B15" t="s">
        <v>25</v>
      </c>
      <c r="C15">
        <v>3</v>
      </c>
      <c r="D15">
        <v>851.6</v>
      </c>
      <c r="E15">
        <v>10</v>
      </c>
    </row>
    <row r="16" spans="1:5" x14ac:dyDescent="0.25">
      <c r="A16" t="s">
        <v>26</v>
      </c>
      <c r="B16" t="s">
        <v>27</v>
      </c>
      <c r="C16">
        <v>3</v>
      </c>
      <c r="D16">
        <v>851.6</v>
      </c>
      <c r="E16">
        <v>10</v>
      </c>
    </row>
    <row r="17" spans="1:5" x14ac:dyDescent="0.25">
      <c r="A17" t="s">
        <v>28</v>
      </c>
      <c r="B17" t="s">
        <v>29</v>
      </c>
      <c r="C17">
        <v>3</v>
      </c>
      <c r="D17">
        <v>851.6</v>
      </c>
      <c r="E17">
        <v>10</v>
      </c>
    </row>
    <row r="18" spans="1:5" x14ac:dyDescent="0.25">
      <c r="A18" t="s">
        <v>30</v>
      </c>
      <c r="B18" t="s">
        <v>29</v>
      </c>
      <c r="C18">
        <v>3</v>
      </c>
      <c r="D18">
        <v>851.6</v>
      </c>
      <c r="E18">
        <v>10</v>
      </c>
    </row>
    <row r="19" spans="1:5" x14ac:dyDescent="0.25">
      <c r="A19" t="s">
        <v>31</v>
      </c>
      <c r="B19" t="s">
        <v>32</v>
      </c>
      <c r="C19">
        <v>3</v>
      </c>
      <c r="D19">
        <v>851.6</v>
      </c>
      <c r="E19">
        <v>10</v>
      </c>
    </row>
    <row r="20" spans="1:5" x14ac:dyDescent="0.25">
      <c r="A20" t="s">
        <v>33</v>
      </c>
      <c r="B20" t="s">
        <v>32</v>
      </c>
      <c r="C20">
        <v>3</v>
      </c>
      <c r="D20">
        <v>851.6</v>
      </c>
      <c r="E20">
        <v>10</v>
      </c>
    </row>
    <row r="21" spans="1:5" x14ac:dyDescent="0.25">
      <c r="A21" t="s">
        <v>34</v>
      </c>
      <c r="B21" t="s">
        <v>35</v>
      </c>
      <c r="C21">
        <v>3</v>
      </c>
      <c r="D21">
        <v>851.6</v>
      </c>
      <c r="E21">
        <v>10</v>
      </c>
    </row>
    <row r="22" spans="1:5" x14ac:dyDescent="0.25">
      <c r="A22" t="s">
        <v>36</v>
      </c>
      <c r="B22" t="s">
        <v>37</v>
      </c>
      <c r="C22">
        <v>3</v>
      </c>
      <c r="D22">
        <v>851.6</v>
      </c>
      <c r="E22">
        <v>1</v>
      </c>
    </row>
    <row r="23" spans="1:5" x14ac:dyDescent="0.25">
      <c r="A23" t="s">
        <v>38</v>
      </c>
      <c r="B23" t="s">
        <v>39</v>
      </c>
      <c r="C23">
        <v>3</v>
      </c>
      <c r="D23">
        <v>851.6</v>
      </c>
      <c r="E23">
        <v>10</v>
      </c>
    </row>
    <row r="24" spans="1:5" x14ac:dyDescent="0.25">
      <c r="A24" t="s">
        <v>40</v>
      </c>
      <c r="B24" t="s">
        <v>41</v>
      </c>
      <c r="C24">
        <v>3</v>
      </c>
      <c r="D24">
        <v>851.6</v>
      </c>
      <c r="E24">
        <v>10</v>
      </c>
    </row>
    <row r="25" spans="1:5" x14ac:dyDescent="0.25">
      <c r="A25" t="s">
        <v>42</v>
      </c>
      <c r="B25" t="s">
        <v>43</v>
      </c>
      <c r="C25">
        <v>4</v>
      </c>
      <c r="D25">
        <v>1135.4000000000001</v>
      </c>
      <c r="E25">
        <v>10</v>
      </c>
    </row>
    <row r="26" spans="1:5" x14ac:dyDescent="0.25">
      <c r="A26" t="s">
        <v>44</v>
      </c>
      <c r="B26" t="s">
        <v>45</v>
      </c>
      <c r="C26">
        <v>4</v>
      </c>
      <c r="D26">
        <v>1135.4000000000001</v>
      </c>
      <c r="E26">
        <v>10</v>
      </c>
    </row>
    <row r="27" spans="1:5" x14ac:dyDescent="0.25">
      <c r="A27" t="s">
        <v>46</v>
      </c>
      <c r="B27" t="s">
        <v>47</v>
      </c>
      <c r="C27">
        <v>4</v>
      </c>
      <c r="D27">
        <v>1135.4000000000001</v>
      </c>
      <c r="E27">
        <v>10</v>
      </c>
    </row>
    <row r="28" spans="1:5" x14ac:dyDescent="0.25">
      <c r="A28" t="s">
        <v>48</v>
      </c>
      <c r="B28" t="s">
        <v>49</v>
      </c>
      <c r="C28">
        <v>4</v>
      </c>
      <c r="D28">
        <v>1135.4000000000001</v>
      </c>
      <c r="E28">
        <v>10</v>
      </c>
    </row>
    <row r="29" spans="1:5" x14ac:dyDescent="0.25">
      <c r="A29" t="s">
        <v>50</v>
      </c>
      <c r="B29" t="s">
        <v>51</v>
      </c>
      <c r="C29">
        <v>4</v>
      </c>
      <c r="D29">
        <v>1135.4000000000001</v>
      </c>
      <c r="E29">
        <v>10</v>
      </c>
    </row>
    <row r="30" spans="1:5" x14ac:dyDescent="0.25">
      <c r="A30" t="s">
        <v>52</v>
      </c>
      <c r="B30" t="s">
        <v>53</v>
      </c>
      <c r="C30">
        <v>3</v>
      </c>
      <c r="D30">
        <v>851.6</v>
      </c>
      <c r="E30">
        <v>10</v>
      </c>
    </row>
    <row r="31" spans="1:5" x14ac:dyDescent="0.25">
      <c r="A31" t="s">
        <v>54</v>
      </c>
      <c r="B31" t="s">
        <v>55</v>
      </c>
      <c r="C31">
        <v>3</v>
      </c>
      <c r="D31">
        <v>851.6</v>
      </c>
      <c r="E31">
        <v>10</v>
      </c>
    </row>
    <row r="32" spans="1:5" x14ac:dyDescent="0.25">
      <c r="A32" t="s">
        <v>56</v>
      </c>
      <c r="B32" t="s">
        <v>57</v>
      </c>
      <c r="C32">
        <v>3</v>
      </c>
      <c r="D32">
        <v>851.6</v>
      </c>
      <c r="E32">
        <v>10</v>
      </c>
    </row>
    <row r="33" spans="1:5" x14ac:dyDescent="0.25">
      <c r="A33" t="s">
        <v>58</v>
      </c>
      <c r="B33" t="s">
        <v>59</v>
      </c>
      <c r="C33">
        <v>4</v>
      </c>
      <c r="D33">
        <v>1135.4000000000001</v>
      </c>
      <c r="E33">
        <v>10</v>
      </c>
    </row>
    <row r="34" spans="1:5" x14ac:dyDescent="0.25">
      <c r="A34" t="s">
        <v>60</v>
      </c>
      <c r="B34" t="s">
        <v>61</v>
      </c>
      <c r="C34">
        <v>4</v>
      </c>
      <c r="D34">
        <v>1135.4000000000001</v>
      </c>
      <c r="E34">
        <v>10</v>
      </c>
    </row>
    <row r="35" spans="1:5" x14ac:dyDescent="0.25">
      <c r="A35" t="s">
        <v>62</v>
      </c>
      <c r="B35" t="s">
        <v>63</v>
      </c>
      <c r="C35">
        <v>4</v>
      </c>
      <c r="D35">
        <v>1135.4000000000001</v>
      </c>
      <c r="E35">
        <v>10</v>
      </c>
    </row>
    <row r="36" spans="1:5" x14ac:dyDescent="0.25">
      <c r="A36" t="s">
        <v>64</v>
      </c>
      <c r="B36" t="s">
        <v>65</v>
      </c>
      <c r="C36">
        <v>4</v>
      </c>
      <c r="D36">
        <v>1135.4000000000001</v>
      </c>
      <c r="E36">
        <v>10</v>
      </c>
    </row>
    <row r="37" spans="1:5" x14ac:dyDescent="0.25">
      <c r="A37" t="s">
        <v>66</v>
      </c>
      <c r="B37" t="s">
        <v>67</v>
      </c>
      <c r="C37">
        <v>4</v>
      </c>
      <c r="D37">
        <v>1135.4000000000001</v>
      </c>
      <c r="E37">
        <v>10</v>
      </c>
    </row>
    <row r="38" spans="1:5" x14ac:dyDescent="0.25">
      <c r="A38" t="s">
        <v>68</v>
      </c>
      <c r="B38" t="s">
        <v>69</v>
      </c>
      <c r="C38">
        <v>4</v>
      </c>
      <c r="D38">
        <v>1135.4000000000001</v>
      </c>
      <c r="E38">
        <v>12</v>
      </c>
    </row>
    <row r="39" spans="1:5" x14ac:dyDescent="0.25">
      <c r="A39" t="s">
        <v>70</v>
      </c>
      <c r="B39" t="s">
        <v>71</v>
      </c>
      <c r="C39">
        <v>4</v>
      </c>
      <c r="D39">
        <v>1135.4000000000001</v>
      </c>
      <c r="E39">
        <v>10</v>
      </c>
    </row>
    <row r="40" spans="1:5" x14ac:dyDescent="0.25">
      <c r="A40" t="s">
        <v>72</v>
      </c>
      <c r="B40" t="s">
        <v>73</v>
      </c>
      <c r="C40">
        <v>4</v>
      </c>
      <c r="D40">
        <v>1135.4000000000001</v>
      </c>
      <c r="E40">
        <v>10</v>
      </c>
    </row>
    <row r="41" spans="1:5" x14ac:dyDescent="0.25">
      <c r="A41" t="s">
        <v>74</v>
      </c>
      <c r="B41" t="s">
        <v>75</v>
      </c>
      <c r="C41">
        <v>6</v>
      </c>
      <c r="D41">
        <v>1703.1</v>
      </c>
      <c r="E41">
        <v>12</v>
      </c>
    </row>
    <row r="42" spans="1:5" x14ac:dyDescent="0.25">
      <c r="A42" t="s">
        <v>76</v>
      </c>
      <c r="B42" t="s">
        <v>77</v>
      </c>
      <c r="C42">
        <v>4</v>
      </c>
      <c r="D42">
        <v>1135.4000000000001</v>
      </c>
      <c r="E42">
        <v>10</v>
      </c>
    </row>
    <row r="43" spans="1:5" x14ac:dyDescent="0.25">
      <c r="A43" t="s">
        <v>78</v>
      </c>
      <c r="B43" t="s">
        <v>79</v>
      </c>
      <c r="C43">
        <v>4</v>
      </c>
      <c r="D43">
        <v>1135.4000000000001</v>
      </c>
      <c r="E43">
        <v>10</v>
      </c>
    </row>
    <row r="44" spans="1:5" x14ac:dyDescent="0.25">
      <c r="A44" t="s">
        <v>80</v>
      </c>
      <c r="B44" t="s">
        <v>81</v>
      </c>
      <c r="C44">
        <v>4</v>
      </c>
      <c r="D44">
        <v>1135.4000000000001</v>
      </c>
      <c r="E44">
        <v>10</v>
      </c>
    </row>
    <row r="45" spans="1:5" x14ac:dyDescent="0.25">
      <c r="A45" t="s">
        <v>82</v>
      </c>
      <c r="B45" t="s">
        <v>83</v>
      </c>
      <c r="C45">
        <v>5</v>
      </c>
      <c r="D45">
        <v>1419.3</v>
      </c>
      <c r="E45">
        <v>10</v>
      </c>
    </row>
    <row r="46" spans="1:5" x14ac:dyDescent="0.25">
      <c r="A46" t="s">
        <v>84</v>
      </c>
      <c r="B46" t="s">
        <v>85</v>
      </c>
      <c r="C46">
        <v>5</v>
      </c>
      <c r="D46">
        <v>1419.3</v>
      </c>
      <c r="E46">
        <v>10</v>
      </c>
    </row>
    <row r="47" spans="1:5" x14ac:dyDescent="0.25">
      <c r="A47" t="s">
        <v>86</v>
      </c>
      <c r="B47" t="s">
        <v>87</v>
      </c>
      <c r="C47">
        <v>3</v>
      </c>
      <c r="D47">
        <v>851.6</v>
      </c>
      <c r="E47">
        <v>10</v>
      </c>
    </row>
    <row r="48" spans="1:5" x14ac:dyDescent="0.25">
      <c r="A48" t="s">
        <v>88</v>
      </c>
      <c r="B48" t="s">
        <v>89</v>
      </c>
      <c r="C48">
        <v>3</v>
      </c>
      <c r="D48">
        <v>851.6</v>
      </c>
      <c r="E48">
        <v>10</v>
      </c>
    </row>
    <row r="49" spans="1:5" x14ac:dyDescent="0.25">
      <c r="A49" t="s">
        <v>90</v>
      </c>
      <c r="B49" t="s">
        <v>91</v>
      </c>
      <c r="C49">
        <v>3</v>
      </c>
      <c r="D49">
        <v>851.6</v>
      </c>
      <c r="E49">
        <v>10</v>
      </c>
    </row>
    <row r="50" spans="1:5" x14ac:dyDescent="0.25">
      <c r="A50" t="s">
        <v>92</v>
      </c>
      <c r="B50" t="s">
        <v>93</v>
      </c>
      <c r="C50">
        <v>3</v>
      </c>
      <c r="D50">
        <v>851.6</v>
      </c>
      <c r="E50">
        <v>10</v>
      </c>
    </row>
    <row r="51" spans="1:5" x14ac:dyDescent="0.25">
      <c r="A51" t="s">
        <v>94</v>
      </c>
      <c r="B51" t="s">
        <v>95</v>
      </c>
      <c r="C51">
        <v>4</v>
      </c>
      <c r="D51">
        <v>1135.4000000000001</v>
      </c>
      <c r="E51">
        <v>10</v>
      </c>
    </row>
    <row r="52" spans="1:5" x14ac:dyDescent="0.25">
      <c r="A52" t="s">
        <v>96</v>
      </c>
      <c r="B52" t="s">
        <v>97</v>
      </c>
      <c r="C52">
        <v>3</v>
      </c>
      <c r="D52">
        <v>851.6</v>
      </c>
      <c r="E52">
        <v>10</v>
      </c>
    </row>
    <row r="53" spans="1:5" x14ac:dyDescent="0.25">
      <c r="A53" t="s">
        <v>98</v>
      </c>
      <c r="B53" t="s">
        <v>99</v>
      </c>
      <c r="C53">
        <v>3</v>
      </c>
      <c r="D53">
        <v>851.6</v>
      </c>
      <c r="E53">
        <v>9</v>
      </c>
    </row>
    <row r="54" spans="1:5" x14ac:dyDescent="0.25">
      <c r="A54" t="s">
        <v>100</v>
      </c>
      <c r="B54" t="s">
        <v>101</v>
      </c>
      <c r="C54">
        <v>3</v>
      </c>
      <c r="D54">
        <v>851.6</v>
      </c>
      <c r="E54">
        <v>9</v>
      </c>
    </row>
    <row r="55" spans="1:5" x14ac:dyDescent="0.25">
      <c r="A55" t="s">
        <v>102</v>
      </c>
      <c r="B55" t="s">
        <v>103</v>
      </c>
      <c r="C55">
        <v>3</v>
      </c>
      <c r="D55">
        <v>851.6</v>
      </c>
      <c r="E55">
        <v>9</v>
      </c>
    </row>
    <row r="56" spans="1:5" x14ac:dyDescent="0.25">
      <c r="A56" t="s">
        <v>104</v>
      </c>
      <c r="B56" t="s">
        <v>105</v>
      </c>
      <c r="C56">
        <v>5</v>
      </c>
      <c r="D56">
        <v>1419.3</v>
      </c>
      <c r="E56">
        <v>9</v>
      </c>
    </row>
    <row r="57" spans="1:5" x14ac:dyDescent="0.25">
      <c r="A57" t="s">
        <v>106</v>
      </c>
      <c r="B57" t="s">
        <v>107</v>
      </c>
      <c r="C57">
        <v>5</v>
      </c>
      <c r="D57">
        <v>1419.3</v>
      </c>
      <c r="E57">
        <v>9</v>
      </c>
    </row>
    <row r="58" spans="1:5" x14ac:dyDescent="0.25">
      <c r="A58" t="s">
        <v>108</v>
      </c>
      <c r="B58" t="s">
        <v>109</v>
      </c>
      <c r="C58">
        <v>5</v>
      </c>
      <c r="D58">
        <v>1419.3</v>
      </c>
      <c r="E58">
        <v>9</v>
      </c>
    </row>
    <row r="59" spans="1:5" x14ac:dyDescent="0.25">
      <c r="A59" t="s">
        <v>110</v>
      </c>
      <c r="B59" t="s">
        <v>111</v>
      </c>
      <c r="C59">
        <v>5</v>
      </c>
      <c r="D59">
        <v>1419.3</v>
      </c>
      <c r="E59">
        <v>9</v>
      </c>
    </row>
    <row r="60" spans="1:5" x14ac:dyDescent="0.25">
      <c r="A60" t="s">
        <v>112</v>
      </c>
      <c r="B60" t="s">
        <v>113</v>
      </c>
      <c r="C60">
        <v>4</v>
      </c>
      <c r="D60">
        <v>1135.4000000000001</v>
      </c>
      <c r="E60">
        <v>9</v>
      </c>
    </row>
    <row r="61" spans="1:5" x14ac:dyDescent="0.25">
      <c r="A61" t="s">
        <v>114</v>
      </c>
      <c r="B61" t="s">
        <v>115</v>
      </c>
      <c r="C61">
        <v>4</v>
      </c>
      <c r="D61">
        <v>1135.4000000000001</v>
      </c>
      <c r="E61">
        <v>9</v>
      </c>
    </row>
    <row r="62" spans="1:5" x14ac:dyDescent="0.25">
      <c r="A62" t="s">
        <v>116</v>
      </c>
      <c r="B62" t="s">
        <v>115</v>
      </c>
      <c r="C62">
        <v>4</v>
      </c>
      <c r="D62">
        <v>1135.4000000000001</v>
      </c>
      <c r="E62">
        <v>9</v>
      </c>
    </row>
    <row r="63" spans="1:5" x14ac:dyDescent="0.25">
      <c r="A63" t="s">
        <v>117</v>
      </c>
      <c r="B63" t="s">
        <v>118</v>
      </c>
      <c r="C63">
        <v>4</v>
      </c>
      <c r="D63">
        <v>1135.4000000000001</v>
      </c>
      <c r="E63">
        <v>9</v>
      </c>
    </row>
    <row r="64" spans="1:5" x14ac:dyDescent="0.25">
      <c r="A64" t="s">
        <v>119</v>
      </c>
      <c r="B64" t="s">
        <v>120</v>
      </c>
      <c r="C64">
        <v>4</v>
      </c>
      <c r="D64">
        <v>1135.4000000000001</v>
      </c>
      <c r="E64">
        <v>9</v>
      </c>
    </row>
    <row r="65" spans="1:5" x14ac:dyDescent="0.25">
      <c r="A65" t="s">
        <v>121</v>
      </c>
      <c r="B65" t="s">
        <v>122</v>
      </c>
      <c r="C65">
        <v>5</v>
      </c>
      <c r="D65">
        <v>1419.3</v>
      </c>
      <c r="E65">
        <v>9</v>
      </c>
    </row>
    <row r="66" spans="1:5" x14ac:dyDescent="0.25">
      <c r="A66" t="s">
        <v>123</v>
      </c>
      <c r="B66" t="s">
        <v>124</v>
      </c>
      <c r="C66">
        <v>5</v>
      </c>
      <c r="D66">
        <v>1419.3</v>
      </c>
      <c r="E66">
        <v>9</v>
      </c>
    </row>
    <row r="67" spans="1:5" x14ac:dyDescent="0.25">
      <c r="A67" t="s">
        <v>125</v>
      </c>
      <c r="B67" t="s">
        <v>126</v>
      </c>
      <c r="C67">
        <v>5</v>
      </c>
      <c r="D67">
        <v>1419.3</v>
      </c>
      <c r="E67">
        <v>12</v>
      </c>
    </row>
    <row r="68" spans="1:5" x14ac:dyDescent="0.25">
      <c r="A68" t="s">
        <v>127</v>
      </c>
      <c r="B68" t="s">
        <v>128</v>
      </c>
      <c r="C68">
        <v>4</v>
      </c>
      <c r="D68">
        <v>1135.4000000000001</v>
      </c>
      <c r="E68">
        <v>5</v>
      </c>
    </row>
    <row r="69" spans="1:5" x14ac:dyDescent="0.25">
      <c r="A69" t="s">
        <v>129</v>
      </c>
      <c r="B69" t="s">
        <v>130</v>
      </c>
      <c r="C69">
        <v>3</v>
      </c>
      <c r="D69">
        <v>851.6</v>
      </c>
      <c r="E69">
        <v>10</v>
      </c>
    </row>
    <row r="70" spans="1:5" x14ac:dyDescent="0.25">
      <c r="A70" t="s">
        <v>131</v>
      </c>
      <c r="B70" t="s">
        <v>132</v>
      </c>
      <c r="C70">
        <v>3</v>
      </c>
      <c r="D70">
        <v>851.6</v>
      </c>
      <c r="E70">
        <v>10</v>
      </c>
    </row>
    <row r="71" spans="1:5" x14ac:dyDescent="0.25">
      <c r="A71" t="s">
        <v>133</v>
      </c>
      <c r="B71" t="s">
        <v>134</v>
      </c>
      <c r="C71">
        <v>3</v>
      </c>
      <c r="D71">
        <v>851.6</v>
      </c>
      <c r="E71">
        <v>10</v>
      </c>
    </row>
    <row r="72" spans="1:5" x14ac:dyDescent="0.25">
      <c r="A72" t="s">
        <v>135</v>
      </c>
      <c r="B72" t="s">
        <v>136</v>
      </c>
      <c r="C72">
        <v>3</v>
      </c>
      <c r="D72">
        <v>851.6</v>
      </c>
      <c r="E72">
        <v>5</v>
      </c>
    </row>
    <row r="73" spans="1:5" x14ac:dyDescent="0.25">
      <c r="A73" t="s">
        <v>137</v>
      </c>
      <c r="B73" t="s">
        <v>138</v>
      </c>
      <c r="C73">
        <v>3</v>
      </c>
      <c r="D73">
        <v>851.6</v>
      </c>
      <c r="E73">
        <v>12</v>
      </c>
    </row>
    <row r="74" spans="1:5" x14ac:dyDescent="0.25">
      <c r="A74" t="s">
        <v>139</v>
      </c>
      <c r="B74" t="s">
        <v>140</v>
      </c>
      <c r="C74">
        <v>3</v>
      </c>
      <c r="D74">
        <v>851.6</v>
      </c>
      <c r="E74">
        <v>10</v>
      </c>
    </row>
    <row r="75" spans="1:5" x14ac:dyDescent="0.25">
      <c r="A75" t="s">
        <v>141</v>
      </c>
      <c r="B75" t="s">
        <v>142</v>
      </c>
      <c r="C75">
        <v>3</v>
      </c>
      <c r="D75">
        <v>851.6</v>
      </c>
      <c r="E75">
        <v>5</v>
      </c>
    </row>
    <row r="76" spans="1:5" x14ac:dyDescent="0.25">
      <c r="A76" t="s">
        <v>143</v>
      </c>
      <c r="B76" t="s">
        <v>144</v>
      </c>
      <c r="C76">
        <v>3</v>
      </c>
      <c r="D76">
        <v>851.6</v>
      </c>
      <c r="E76">
        <v>5</v>
      </c>
    </row>
    <row r="77" spans="1:5" x14ac:dyDescent="0.25">
      <c r="A77" t="s">
        <v>145</v>
      </c>
      <c r="B77" t="s">
        <v>146</v>
      </c>
      <c r="C77">
        <v>3</v>
      </c>
      <c r="D77">
        <v>851.6</v>
      </c>
      <c r="E77">
        <v>8</v>
      </c>
    </row>
    <row r="78" spans="1:5" x14ac:dyDescent="0.25">
      <c r="A78" t="s">
        <v>147</v>
      </c>
      <c r="B78" t="s">
        <v>148</v>
      </c>
      <c r="C78">
        <v>3</v>
      </c>
      <c r="D78">
        <v>851.6</v>
      </c>
      <c r="E78">
        <v>8</v>
      </c>
    </row>
    <row r="79" spans="1:5" x14ac:dyDescent="0.25">
      <c r="A79" t="s">
        <v>149</v>
      </c>
      <c r="B79" t="s">
        <v>150</v>
      </c>
      <c r="C79">
        <v>3</v>
      </c>
      <c r="D79">
        <v>851.6</v>
      </c>
      <c r="E79">
        <v>8</v>
      </c>
    </row>
    <row r="80" spans="1:5" x14ac:dyDescent="0.25">
      <c r="A80" t="s">
        <v>151</v>
      </c>
      <c r="B80" t="s">
        <v>152</v>
      </c>
      <c r="C80">
        <v>3</v>
      </c>
      <c r="D80">
        <v>851.6</v>
      </c>
      <c r="E80">
        <v>8</v>
      </c>
    </row>
    <row r="81" spans="1:5" x14ac:dyDescent="0.25">
      <c r="A81" t="s">
        <v>153</v>
      </c>
      <c r="B81" t="s">
        <v>154</v>
      </c>
      <c r="C81">
        <v>3</v>
      </c>
      <c r="D81">
        <v>851.6</v>
      </c>
      <c r="E81">
        <v>8</v>
      </c>
    </row>
    <row r="82" spans="1:5" x14ac:dyDescent="0.25">
      <c r="A82" t="s">
        <v>155</v>
      </c>
      <c r="B82" t="s">
        <v>156</v>
      </c>
      <c r="C82">
        <v>3</v>
      </c>
      <c r="D82">
        <v>851.6</v>
      </c>
      <c r="E82">
        <v>8</v>
      </c>
    </row>
    <row r="83" spans="1:5" x14ac:dyDescent="0.25">
      <c r="A83" t="s">
        <v>157</v>
      </c>
      <c r="B83" t="s">
        <v>158</v>
      </c>
      <c r="C83">
        <v>3</v>
      </c>
      <c r="D83">
        <v>851.6</v>
      </c>
      <c r="E83">
        <v>8</v>
      </c>
    </row>
    <row r="84" spans="1:5" x14ac:dyDescent="0.25">
      <c r="A84" t="s">
        <v>159</v>
      </c>
      <c r="B84" t="s">
        <v>160</v>
      </c>
      <c r="C84">
        <v>3</v>
      </c>
      <c r="D84">
        <v>851.6</v>
      </c>
      <c r="E84">
        <v>8</v>
      </c>
    </row>
    <row r="85" spans="1:5" x14ac:dyDescent="0.25">
      <c r="A85" t="s">
        <v>161</v>
      </c>
      <c r="B85" t="s">
        <v>162</v>
      </c>
      <c r="C85">
        <v>3</v>
      </c>
      <c r="D85">
        <v>851.6</v>
      </c>
      <c r="E85">
        <v>8</v>
      </c>
    </row>
    <row r="86" spans="1:5" x14ac:dyDescent="0.25">
      <c r="A86" t="s">
        <v>163</v>
      </c>
      <c r="B86" t="s">
        <v>164</v>
      </c>
      <c r="C86">
        <v>3</v>
      </c>
      <c r="D86">
        <v>851.6</v>
      </c>
      <c r="E86">
        <v>8</v>
      </c>
    </row>
    <row r="87" spans="1:5" x14ac:dyDescent="0.25">
      <c r="A87" t="s">
        <v>165</v>
      </c>
      <c r="B87" t="s">
        <v>164</v>
      </c>
      <c r="C87">
        <v>3</v>
      </c>
      <c r="D87">
        <v>851.6</v>
      </c>
      <c r="E87">
        <v>8</v>
      </c>
    </row>
    <row r="88" spans="1:5" x14ac:dyDescent="0.25">
      <c r="A88" t="s">
        <v>166</v>
      </c>
      <c r="B88" t="s">
        <v>167</v>
      </c>
      <c r="C88">
        <v>3</v>
      </c>
      <c r="D88">
        <v>851.6</v>
      </c>
      <c r="E88">
        <v>8</v>
      </c>
    </row>
    <row r="89" spans="1:5" x14ac:dyDescent="0.25">
      <c r="A89" t="s">
        <v>168</v>
      </c>
      <c r="B89" t="s">
        <v>169</v>
      </c>
      <c r="C89">
        <v>3</v>
      </c>
      <c r="D89">
        <v>851.6</v>
      </c>
      <c r="E89">
        <v>8</v>
      </c>
    </row>
    <row r="90" spans="1:5" x14ac:dyDescent="0.25">
      <c r="A90" t="s">
        <v>170</v>
      </c>
      <c r="B90" t="s">
        <v>171</v>
      </c>
      <c r="C90">
        <v>3</v>
      </c>
      <c r="D90">
        <v>851.6</v>
      </c>
      <c r="E90">
        <v>8</v>
      </c>
    </row>
    <row r="91" spans="1:5" x14ac:dyDescent="0.25">
      <c r="A91" t="s">
        <v>172</v>
      </c>
      <c r="B91" t="s">
        <v>173</v>
      </c>
      <c r="C91">
        <v>3</v>
      </c>
      <c r="D91">
        <v>851.6</v>
      </c>
      <c r="E91">
        <v>8</v>
      </c>
    </row>
    <row r="92" spans="1:5" x14ac:dyDescent="0.25">
      <c r="A92" t="s">
        <v>174</v>
      </c>
      <c r="B92" t="s">
        <v>175</v>
      </c>
      <c r="C92">
        <v>3</v>
      </c>
      <c r="D92">
        <v>851.6</v>
      </c>
      <c r="E92">
        <v>8</v>
      </c>
    </row>
    <row r="93" spans="1:5" x14ac:dyDescent="0.25">
      <c r="A93" t="s">
        <v>176</v>
      </c>
      <c r="B93" t="s">
        <v>177</v>
      </c>
      <c r="C93">
        <v>3</v>
      </c>
      <c r="D93">
        <v>851.6</v>
      </c>
      <c r="E93">
        <v>8</v>
      </c>
    </row>
    <row r="94" spans="1:5" x14ac:dyDescent="0.25">
      <c r="A94" t="s">
        <v>178</v>
      </c>
      <c r="B94" t="s">
        <v>179</v>
      </c>
      <c r="C94">
        <v>3</v>
      </c>
      <c r="D94">
        <v>851.6</v>
      </c>
      <c r="E94">
        <v>8</v>
      </c>
    </row>
    <row r="95" spans="1:5" x14ac:dyDescent="0.25">
      <c r="A95" t="s">
        <v>180</v>
      </c>
      <c r="B95" t="s">
        <v>181</v>
      </c>
      <c r="C95">
        <v>3</v>
      </c>
      <c r="D95">
        <v>851.6</v>
      </c>
      <c r="E95">
        <v>8</v>
      </c>
    </row>
    <row r="96" spans="1:5" x14ac:dyDescent="0.25">
      <c r="A96" t="s">
        <v>182</v>
      </c>
      <c r="B96" t="s">
        <v>183</v>
      </c>
      <c r="C96">
        <v>3</v>
      </c>
      <c r="D96">
        <v>851.6</v>
      </c>
      <c r="E96">
        <v>8</v>
      </c>
    </row>
    <row r="97" spans="1:5" x14ac:dyDescent="0.25">
      <c r="A97" t="s">
        <v>184</v>
      </c>
      <c r="B97" t="s">
        <v>185</v>
      </c>
      <c r="C97">
        <v>3</v>
      </c>
      <c r="D97">
        <v>851.6</v>
      </c>
      <c r="E97">
        <v>8</v>
      </c>
    </row>
    <row r="98" spans="1:5" x14ac:dyDescent="0.25">
      <c r="A98" t="s">
        <v>186</v>
      </c>
      <c r="B98" t="s">
        <v>187</v>
      </c>
      <c r="C98">
        <v>3</v>
      </c>
      <c r="D98">
        <v>851.6</v>
      </c>
      <c r="E98">
        <v>8</v>
      </c>
    </row>
    <row r="99" spans="1:5" x14ac:dyDescent="0.25">
      <c r="A99" t="s">
        <v>188</v>
      </c>
      <c r="B99" t="s">
        <v>189</v>
      </c>
      <c r="C99">
        <v>3</v>
      </c>
      <c r="D99">
        <v>851.6</v>
      </c>
      <c r="E99">
        <v>8</v>
      </c>
    </row>
    <row r="100" spans="1:5" x14ac:dyDescent="0.25">
      <c r="A100" t="s">
        <v>190</v>
      </c>
      <c r="B100" t="s">
        <v>191</v>
      </c>
      <c r="C100">
        <v>3</v>
      </c>
      <c r="D100">
        <v>851.6</v>
      </c>
      <c r="E100">
        <v>8</v>
      </c>
    </row>
    <row r="101" spans="1:5" x14ac:dyDescent="0.25">
      <c r="A101" t="s">
        <v>192</v>
      </c>
      <c r="B101" t="s">
        <v>193</v>
      </c>
      <c r="C101">
        <v>3</v>
      </c>
      <c r="D101">
        <v>851.6</v>
      </c>
      <c r="E101">
        <v>8</v>
      </c>
    </row>
    <row r="102" spans="1:5" x14ac:dyDescent="0.25">
      <c r="A102" t="s">
        <v>194</v>
      </c>
      <c r="B102" t="s">
        <v>195</v>
      </c>
      <c r="C102">
        <v>3</v>
      </c>
      <c r="D102">
        <v>851.6</v>
      </c>
      <c r="E102">
        <v>8</v>
      </c>
    </row>
    <row r="103" spans="1:5" x14ac:dyDescent="0.25">
      <c r="A103" t="s">
        <v>196</v>
      </c>
      <c r="B103" t="s">
        <v>197</v>
      </c>
      <c r="C103">
        <v>3</v>
      </c>
      <c r="D103">
        <v>851.6</v>
      </c>
      <c r="E103">
        <v>8</v>
      </c>
    </row>
    <row r="104" spans="1:5" x14ac:dyDescent="0.25">
      <c r="A104" t="s">
        <v>198</v>
      </c>
      <c r="B104" t="s">
        <v>199</v>
      </c>
      <c r="C104">
        <v>3</v>
      </c>
      <c r="D104">
        <v>851.6</v>
      </c>
      <c r="E104">
        <v>8</v>
      </c>
    </row>
    <row r="105" spans="1:5" x14ac:dyDescent="0.25">
      <c r="A105" t="s">
        <v>200</v>
      </c>
      <c r="B105" t="s">
        <v>201</v>
      </c>
      <c r="C105">
        <v>3</v>
      </c>
      <c r="D105">
        <v>851.6</v>
      </c>
      <c r="E105">
        <v>8</v>
      </c>
    </row>
    <row r="106" spans="1:5" x14ac:dyDescent="0.25">
      <c r="A106" t="s">
        <v>202</v>
      </c>
      <c r="B106" t="s">
        <v>203</v>
      </c>
      <c r="C106">
        <v>3</v>
      </c>
      <c r="D106">
        <v>851.6</v>
      </c>
      <c r="E106">
        <v>8</v>
      </c>
    </row>
    <row r="107" spans="1:5" x14ac:dyDescent="0.25">
      <c r="A107" t="s">
        <v>204</v>
      </c>
      <c r="B107" t="s">
        <v>205</v>
      </c>
      <c r="C107">
        <v>3</v>
      </c>
      <c r="D107">
        <v>851.6</v>
      </c>
      <c r="E107">
        <v>8</v>
      </c>
    </row>
    <row r="108" spans="1:5" x14ac:dyDescent="0.25">
      <c r="A108" t="s">
        <v>206</v>
      </c>
      <c r="B108" t="s">
        <v>207</v>
      </c>
      <c r="C108">
        <v>3</v>
      </c>
      <c r="D108">
        <v>851.6</v>
      </c>
      <c r="E108">
        <v>6</v>
      </c>
    </row>
    <row r="109" spans="1:5" x14ac:dyDescent="0.25">
      <c r="A109" t="s">
        <v>208</v>
      </c>
      <c r="B109" t="s">
        <v>207</v>
      </c>
      <c r="C109">
        <v>3</v>
      </c>
      <c r="D109">
        <v>851.6</v>
      </c>
      <c r="E109">
        <v>8</v>
      </c>
    </row>
    <row r="110" spans="1:5" x14ac:dyDescent="0.25">
      <c r="A110" t="s">
        <v>209</v>
      </c>
      <c r="B110" t="s">
        <v>210</v>
      </c>
      <c r="C110">
        <v>3</v>
      </c>
      <c r="D110">
        <v>851.6</v>
      </c>
      <c r="E110">
        <v>6</v>
      </c>
    </row>
    <row r="111" spans="1:5" x14ac:dyDescent="0.25">
      <c r="A111" t="s">
        <v>211</v>
      </c>
      <c r="B111" t="s">
        <v>210</v>
      </c>
      <c r="C111">
        <v>3</v>
      </c>
      <c r="D111">
        <v>851.6</v>
      </c>
      <c r="E111">
        <v>8</v>
      </c>
    </row>
    <row r="112" spans="1:5" x14ac:dyDescent="0.25">
      <c r="A112" t="s">
        <v>212</v>
      </c>
      <c r="B112" t="s">
        <v>213</v>
      </c>
      <c r="C112">
        <v>3</v>
      </c>
      <c r="D112">
        <v>851.6</v>
      </c>
      <c r="E112">
        <v>6</v>
      </c>
    </row>
    <row r="113" spans="1:5" x14ac:dyDescent="0.25">
      <c r="A113" t="s">
        <v>214</v>
      </c>
      <c r="B113" t="s">
        <v>213</v>
      </c>
      <c r="C113">
        <v>3</v>
      </c>
      <c r="D113">
        <v>851.6</v>
      </c>
      <c r="E113">
        <v>8</v>
      </c>
    </row>
    <row r="114" spans="1:5" x14ac:dyDescent="0.25">
      <c r="A114" t="s">
        <v>215</v>
      </c>
      <c r="B114" t="s">
        <v>216</v>
      </c>
      <c r="C114">
        <v>3</v>
      </c>
      <c r="D114">
        <v>851.6</v>
      </c>
      <c r="E114">
        <v>8</v>
      </c>
    </row>
    <row r="115" spans="1:5" x14ac:dyDescent="0.25">
      <c r="A115" t="s">
        <v>217</v>
      </c>
      <c r="B115" t="s">
        <v>218</v>
      </c>
      <c r="C115">
        <v>3</v>
      </c>
      <c r="D115">
        <v>851.6</v>
      </c>
      <c r="E115">
        <v>8</v>
      </c>
    </row>
    <row r="116" spans="1:5" x14ac:dyDescent="0.25">
      <c r="A116" t="s">
        <v>219</v>
      </c>
      <c r="B116" t="s">
        <v>220</v>
      </c>
      <c r="C116">
        <v>3</v>
      </c>
      <c r="D116">
        <v>851.6</v>
      </c>
      <c r="E116">
        <v>8</v>
      </c>
    </row>
    <row r="117" spans="1:5" x14ac:dyDescent="0.25">
      <c r="A117" t="s">
        <v>221</v>
      </c>
      <c r="B117" t="s">
        <v>222</v>
      </c>
      <c r="C117">
        <v>3</v>
      </c>
      <c r="D117">
        <v>851.6</v>
      </c>
      <c r="E117">
        <v>8</v>
      </c>
    </row>
    <row r="118" spans="1:5" x14ac:dyDescent="0.25">
      <c r="A118" t="s">
        <v>223</v>
      </c>
      <c r="B118" t="s">
        <v>224</v>
      </c>
      <c r="C118">
        <v>3</v>
      </c>
      <c r="D118">
        <v>851.6</v>
      </c>
      <c r="E118">
        <v>8</v>
      </c>
    </row>
    <row r="119" spans="1:5" x14ac:dyDescent="0.25">
      <c r="A119" t="s">
        <v>225</v>
      </c>
      <c r="B119" t="s">
        <v>226</v>
      </c>
      <c r="C119">
        <v>3</v>
      </c>
      <c r="D119">
        <v>851.6</v>
      </c>
      <c r="E119">
        <v>8</v>
      </c>
    </row>
    <row r="120" spans="1:5" x14ac:dyDescent="0.25">
      <c r="A120" t="s">
        <v>227</v>
      </c>
      <c r="B120" t="s">
        <v>228</v>
      </c>
      <c r="C120">
        <v>3</v>
      </c>
      <c r="D120">
        <v>851.6</v>
      </c>
      <c r="E120">
        <v>8</v>
      </c>
    </row>
    <row r="121" spans="1:5" x14ac:dyDescent="0.25">
      <c r="A121" t="s">
        <v>229</v>
      </c>
      <c r="B121" t="s">
        <v>230</v>
      </c>
      <c r="C121">
        <v>3</v>
      </c>
      <c r="D121">
        <v>851.6</v>
      </c>
      <c r="E121">
        <v>8</v>
      </c>
    </row>
    <row r="122" spans="1:5" x14ac:dyDescent="0.25">
      <c r="A122" t="s">
        <v>231</v>
      </c>
      <c r="B122" t="s">
        <v>232</v>
      </c>
      <c r="C122">
        <v>3</v>
      </c>
      <c r="D122">
        <v>851.6</v>
      </c>
      <c r="E122">
        <v>8</v>
      </c>
    </row>
    <row r="123" spans="1:5" x14ac:dyDescent="0.25">
      <c r="A123" t="s">
        <v>233</v>
      </c>
      <c r="B123" t="s">
        <v>234</v>
      </c>
      <c r="C123">
        <v>3</v>
      </c>
      <c r="D123">
        <v>851.6</v>
      </c>
      <c r="E123">
        <v>8</v>
      </c>
    </row>
    <row r="124" spans="1:5" x14ac:dyDescent="0.25">
      <c r="A124" t="s">
        <v>235</v>
      </c>
      <c r="B124" t="s">
        <v>236</v>
      </c>
      <c r="C124">
        <v>3</v>
      </c>
      <c r="D124">
        <v>851.6</v>
      </c>
      <c r="E124">
        <v>8</v>
      </c>
    </row>
    <row r="125" spans="1:5" x14ac:dyDescent="0.25">
      <c r="A125" t="s">
        <v>237</v>
      </c>
      <c r="B125" t="s">
        <v>238</v>
      </c>
      <c r="C125">
        <v>3</v>
      </c>
      <c r="D125">
        <v>851.6</v>
      </c>
      <c r="E125">
        <v>8</v>
      </c>
    </row>
    <row r="126" spans="1:5" x14ac:dyDescent="0.25">
      <c r="A126" t="s">
        <v>239</v>
      </c>
      <c r="B126" t="s">
        <v>240</v>
      </c>
      <c r="C126">
        <v>3</v>
      </c>
      <c r="D126">
        <v>851.6</v>
      </c>
      <c r="E126">
        <v>8</v>
      </c>
    </row>
    <row r="127" spans="1:5" x14ac:dyDescent="0.25">
      <c r="A127" t="s">
        <v>241</v>
      </c>
      <c r="B127" t="s">
        <v>242</v>
      </c>
      <c r="C127">
        <v>3</v>
      </c>
      <c r="D127">
        <v>851.6</v>
      </c>
      <c r="E127">
        <v>8</v>
      </c>
    </row>
    <row r="128" spans="1:5" x14ac:dyDescent="0.25">
      <c r="A128" t="s">
        <v>243</v>
      </c>
      <c r="B128" t="s">
        <v>244</v>
      </c>
      <c r="C128">
        <v>4</v>
      </c>
      <c r="D128">
        <v>1135.4000000000001</v>
      </c>
      <c r="E128">
        <v>8</v>
      </c>
    </row>
    <row r="129" spans="1:5" x14ac:dyDescent="0.25">
      <c r="A129" t="s">
        <v>245</v>
      </c>
      <c r="B129" t="s">
        <v>246</v>
      </c>
      <c r="C129">
        <v>3</v>
      </c>
      <c r="D129">
        <v>851.6</v>
      </c>
      <c r="E129">
        <v>8</v>
      </c>
    </row>
    <row r="130" spans="1:5" x14ac:dyDescent="0.25">
      <c r="A130" t="s">
        <v>247</v>
      </c>
      <c r="B130" t="s">
        <v>248</v>
      </c>
      <c r="C130">
        <v>3</v>
      </c>
      <c r="D130">
        <v>851.6</v>
      </c>
      <c r="E130">
        <v>8</v>
      </c>
    </row>
    <row r="131" spans="1:5" x14ac:dyDescent="0.25">
      <c r="A131" t="s">
        <v>249</v>
      </c>
      <c r="B131" t="s">
        <v>250</v>
      </c>
      <c r="C131">
        <v>3</v>
      </c>
      <c r="D131">
        <v>851.6</v>
      </c>
      <c r="E131">
        <v>8</v>
      </c>
    </row>
    <row r="132" spans="1:5" x14ac:dyDescent="0.25">
      <c r="A132" t="s">
        <v>251</v>
      </c>
      <c r="B132" t="s">
        <v>252</v>
      </c>
      <c r="C132">
        <v>3</v>
      </c>
      <c r="D132">
        <v>851.6</v>
      </c>
      <c r="E132">
        <v>8</v>
      </c>
    </row>
    <row r="133" spans="1:5" x14ac:dyDescent="0.25">
      <c r="A133" t="s">
        <v>253</v>
      </c>
      <c r="B133" t="s">
        <v>254</v>
      </c>
      <c r="C133">
        <v>3</v>
      </c>
      <c r="D133">
        <v>851.6</v>
      </c>
      <c r="E133">
        <v>8</v>
      </c>
    </row>
    <row r="134" spans="1:5" x14ac:dyDescent="0.25">
      <c r="A134" t="s">
        <v>255</v>
      </c>
      <c r="B134" t="s">
        <v>256</v>
      </c>
      <c r="C134">
        <v>3</v>
      </c>
      <c r="D134">
        <v>851.6</v>
      </c>
      <c r="E134">
        <v>7</v>
      </c>
    </row>
    <row r="135" spans="1:5" x14ac:dyDescent="0.25">
      <c r="A135" t="s">
        <v>257</v>
      </c>
      <c r="B135" t="s">
        <v>258</v>
      </c>
      <c r="C135">
        <v>3</v>
      </c>
      <c r="D135">
        <v>851.6</v>
      </c>
      <c r="E135">
        <v>7</v>
      </c>
    </row>
    <row r="136" spans="1:5" x14ac:dyDescent="0.25">
      <c r="A136" t="s">
        <v>259</v>
      </c>
      <c r="B136" t="s">
        <v>260</v>
      </c>
      <c r="C136">
        <v>3</v>
      </c>
      <c r="D136">
        <v>851.6</v>
      </c>
      <c r="E136">
        <v>9</v>
      </c>
    </row>
    <row r="137" spans="1:5" x14ac:dyDescent="0.25">
      <c r="A137" t="s">
        <v>261</v>
      </c>
      <c r="B137" t="s">
        <v>262</v>
      </c>
      <c r="C137">
        <v>3</v>
      </c>
      <c r="D137">
        <v>851.6</v>
      </c>
      <c r="E137">
        <v>8</v>
      </c>
    </row>
    <row r="138" spans="1:5" x14ac:dyDescent="0.25">
      <c r="A138" t="s">
        <v>263</v>
      </c>
      <c r="B138" t="s">
        <v>264</v>
      </c>
      <c r="C138">
        <v>3</v>
      </c>
      <c r="D138">
        <v>851.6</v>
      </c>
      <c r="E138">
        <v>8</v>
      </c>
    </row>
    <row r="139" spans="1:5" x14ac:dyDescent="0.25">
      <c r="A139" t="s">
        <v>265</v>
      </c>
      <c r="B139" t="s">
        <v>266</v>
      </c>
      <c r="C139">
        <v>3</v>
      </c>
      <c r="D139">
        <v>851.6</v>
      </c>
      <c r="E139">
        <v>8</v>
      </c>
    </row>
    <row r="140" spans="1:5" x14ac:dyDescent="0.25">
      <c r="A140" t="s">
        <v>267</v>
      </c>
      <c r="B140" t="s">
        <v>268</v>
      </c>
      <c r="C140">
        <v>3</v>
      </c>
      <c r="D140">
        <v>851.6</v>
      </c>
      <c r="E140">
        <v>8</v>
      </c>
    </row>
    <row r="141" spans="1:5" x14ac:dyDescent="0.25">
      <c r="A141" t="s">
        <v>269</v>
      </c>
      <c r="B141" t="s">
        <v>270</v>
      </c>
      <c r="C141">
        <v>3</v>
      </c>
      <c r="D141">
        <v>851.6</v>
      </c>
      <c r="E141">
        <v>8</v>
      </c>
    </row>
    <row r="142" spans="1:5" x14ac:dyDescent="0.25">
      <c r="A142" t="s">
        <v>271</v>
      </c>
      <c r="B142" t="s">
        <v>272</v>
      </c>
      <c r="C142">
        <v>3</v>
      </c>
      <c r="D142">
        <v>851.6</v>
      </c>
      <c r="E142">
        <v>8</v>
      </c>
    </row>
    <row r="143" spans="1:5" x14ac:dyDescent="0.25">
      <c r="A143" t="s">
        <v>273</v>
      </c>
      <c r="B143" t="s">
        <v>274</v>
      </c>
      <c r="C143">
        <v>5</v>
      </c>
      <c r="D143">
        <v>1419.3</v>
      </c>
      <c r="E143">
        <v>8</v>
      </c>
    </row>
    <row r="144" spans="1:5" x14ac:dyDescent="0.25">
      <c r="A144" t="s">
        <v>275</v>
      </c>
      <c r="B144" t="s">
        <v>276</v>
      </c>
      <c r="C144">
        <v>5</v>
      </c>
      <c r="D144">
        <v>1419.3</v>
      </c>
      <c r="E144">
        <v>8</v>
      </c>
    </row>
    <row r="145" spans="1:5" x14ac:dyDescent="0.25">
      <c r="A145" t="s">
        <v>277</v>
      </c>
      <c r="B145" t="s">
        <v>278</v>
      </c>
      <c r="C145">
        <v>3</v>
      </c>
      <c r="D145">
        <v>851.6</v>
      </c>
      <c r="E145">
        <v>8</v>
      </c>
    </row>
    <row r="146" spans="1:5" x14ac:dyDescent="0.25">
      <c r="A146" t="s">
        <v>279</v>
      </c>
      <c r="B146" t="s">
        <v>280</v>
      </c>
      <c r="C146">
        <v>3</v>
      </c>
      <c r="D146">
        <v>851.6</v>
      </c>
      <c r="E146">
        <v>8</v>
      </c>
    </row>
    <row r="147" spans="1:5" x14ac:dyDescent="0.25">
      <c r="A147" t="s">
        <v>281</v>
      </c>
      <c r="B147" t="s">
        <v>282</v>
      </c>
      <c r="C147">
        <v>3</v>
      </c>
      <c r="D147">
        <v>851.6</v>
      </c>
      <c r="E147">
        <v>8</v>
      </c>
    </row>
    <row r="148" spans="1:5" x14ac:dyDescent="0.25">
      <c r="A148" t="s">
        <v>283</v>
      </c>
      <c r="B148" t="s">
        <v>284</v>
      </c>
      <c r="C148">
        <v>3</v>
      </c>
      <c r="D148">
        <v>851.6</v>
      </c>
      <c r="E148">
        <v>8</v>
      </c>
    </row>
    <row r="149" spans="1:5" x14ac:dyDescent="0.25">
      <c r="A149" t="s">
        <v>285</v>
      </c>
      <c r="B149" t="s">
        <v>286</v>
      </c>
      <c r="C149">
        <v>3</v>
      </c>
      <c r="D149">
        <v>851.6</v>
      </c>
      <c r="E149">
        <v>8</v>
      </c>
    </row>
    <row r="150" spans="1:5" x14ac:dyDescent="0.25">
      <c r="A150" t="s">
        <v>287</v>
      </c>
      <c r="B150" t="s">
        <v>288</v>
      </c>
      <c r="C150">
        <v>3</v>
      </c>
      <c r="D150">
        <v>851.6</v>
      </c>
      <c r="E150">
        <v>12</v>
      </c>
    </row>
    <row r="151" spans="1:5" x14ac:dyDescent="0.25">
      <c r="A151" t="s">
        <v>289</v>
      </c>
      <c r="B151" t="s">
        <v>290</v>
      </c>
      <c r="C151">
        <v>3</v>
      </c>
      <c r="D151">
        <v>851.6</v>
      </c>
      <c r="E151">
        <v>8</v>
      </c>
    </row>
    <row r="152" spans="1:5" x14ac:dyDescent="0.25">
      <c r="A152" t="s">
        <v>291</v>
      </c>
      <c r="B152" t="s">
        <v>292</v>
      </c>
      <c r="C152">
        <v>3</v>
      </c>
      <c r="D152">
        <v>851.6</v>
      </c>
      <c r="E152">
        <v>8</v>
      </c>
    </row>
    <row r="153" spans="1:5" x14ac:dyDescent="0.25">
      <c r="A153" t="s">
        <v>293</v>
      </c>
      <c r="B153" t="s">
        <v>294</v>
      </c>
      <c r="C153">
        <v>3</v>
      </c>
      <c r="D153">
        <v>851.6</v>
      </c>
      <c r="E153">
        <v>8</v>
      </c>
    </row>
    <row r="154" spans="1:5" x14ac:dyDescent="0.25">
      <c r="A154" t="s">
        <v>295</v>
      </c>
      <c r="B154" t="s">
        <v>296</v>
      </c>
      <c r="C154">
        <v>3</v>
      </c>
      <c r="D154">
        <v>851.6</v>
      </c>
      <c r="E154">
        <v>8</v>
      </c>
    </row>
    <row r="155" spans="1:5" x14ac:dyDescent="0.25">
      <c r="A155" t="s">
        <v>297</v>
      </c>
      <c r="B155" t="s">
        <v>298</v>
      </c>
      <c r="C155">
        <v>3</v>
      </c>
      <c r="D155">
        <v>851.6</v>
      </c>
      <c r="E155">
        <v>8</v>
      </c>
    </row>
    <row r="156" spans="1:5" x14ac:dyDescent="0.25">
      <c r="A156" t="s">
        <v>299</v>
      </c>
      <c r="B156" t="s">
        <v>300</v>
      </c>
      <c r="C156">
        <v>3</v>
      </c>
      <c r="D156">
        <v>851.6</v>
      </c>
      <c r="E156">
        <v>8</v>
      </c>
    </row>
    <row r="157" spans="1:5" x14ac:dyDescent="0.25">
      <c r="A157" t="s">
        <v>301</v>
      </c>
      <c r="B157" t="s">
        <v>302</v>
      </c>
      <c r="C157">
        <v>3</v>
      </c>
      <c r="D157">
        <v>851.6</v>
      </c>
      <c r="E157">
        <v>8</v>
      </c>
    </row>
    <row r="158" spans="1:5" x14ac:dyDescent="0.25">
      <c r="A158" t="s">
        <v>303</v>
      </c>
      <c r="B158" t="s">
        <v>304</v>
      </c>
      <c r="C158">
        <v>3</v>
      </c>
      <c r="D158">
        <v>851.6</v>
      </c>
      <c r="E158">
        <v>8</v>
      </c>
    </row>
    <row r="159" spans="1:5" x14ac:dyDescent="0.25">
      <c r="A159" t="s">
        <v>305</v>
      </c>
      <c r="B159" t="s">
        <v>306</v>
      </c>
      <c r="C159">
        <v>3</v>
      </c>
      <c r="D159">
        <v>851.6</v>
      </c>
      <c r="E159">
        <v>8</v>
      </c>
    </row>
    <row r="160" spans="1:5" x14ac:dyDescent="0.25">
      <c r="A160" t="s">
        <v>307</v>
      </c>
      <c r="B160" t="s">
        <v>308</v>
      </c>
      <c r="C160">
        <v>9</v>
      </c>
      <c r="D160">
        <v>2554.6999999999998</v>
      </c>
      <c r="E160">
        <v>12</v>
      </c>
    </row>
    <row r="161" spans="1:5" x14ac:dyDescent="0.25">
      <c r="A161" t="s">
        <v>309</v>
      </c>
      <c r="B161" t="s">
        <v>310</v>
      </c>
      <c r="C161">
        <v>5</v>
      </c>
      <c r="D161">
        <v>1419.3</v>
      </c>
      <c r="E161">
        <v>8</v>
      </c>
    </row>
    <row r="162" spans="1:5" x14ac:dyDescent="0.25">
      <c r="A162" t="s">
        <v>311</v>
      </c>
      <c r="B162" t="s">
        <v>312</v>
      </c>
      <c r="C162">
        <v>3</v>
      </c>
      <c r="D162">
        <v>851.6</v>
      </c>
      <c r="E162">
        <v>12</v>
      </c>
    </row>
    <row r="163" spans="1:5" x14ac:dyDescent="0.25">
      <c r="A163" t="s">
        <v>313</v>
      </c>
      <c r="B163" t="s">
        <v>314</v>
      </c>
      <c r="C163">
        <v>3</v>
      </c>
      <c r="D163">
        <v>851.6</v>
      </c>
      <c r="E163">
        <v>12</v>
      </c>
    </row>
    <row r="164" spans="1:5" x14ac:dyDescent="0.25">
      <c r="A164" t="s">
        <v>315</v>
      </c>
      <c r="B164" t="s">
        <v>316</v>
      </c>
      <c r="C164">
        <v>3</v>
      </c>
      <c r="D164">
        <v>851.6</v>
      </c>
      <c r="E164">
        <v>5</v>
      </c>
    </row>
    <row r="165" spans="1:5" x14ac:dyDescent="0.25">
      <c r="A165" t="s">
        <v>317</v>
      </c>
      <c r="B165" t="s">
        <v>318</v>
      </c>
      <c r="C165">
        <v>6</v>
      </c>
      <c r="D165">
        <v>1703.1</v>
      </c>
      <c r="E165">
        <v>12</v>
      </c>
    </row>
    <row r="166" spans="1:5" x14ac:dyDescent="0.25">
      <c r="A166" t="s">
        <v>319</v>
      </c>
      <c r="B166" t="s">
        <v>320</v>
      </c>
      <c r="C166">
        <v>6</v>
      </c>
      <c r="D166">
        <v>1703.1</v>
      </c>
      <c r="E166">
        <v>12</v>
      </c>
    </row>
    <row r="167" spans="1:5" x14ac:dyDescent="0.25">
      <c r="A167" t="s">
        <v>321</v>
      </c>
      <c r="B167" t="s">
        <v>322</v>
      </c>
      <c r="C167">
        <v>6</v>
      </c>
      <c r="D167">
        <v>1703.1</v>
      </c>
      <c r="E167">
        <v>12</v>
      </c>
    </row>
    <row r="168" spans="1:5" x14ac:dyDescent="0.25">
      <c r="A168" t="s">
        <v>323</v>
      </c>
      <c r="B168" t="s">
        <v>324</v>
      </c>
      <c r="C168">
        <v>5</v>
      </c>
      <c r="D168">
        <v>1419.3</v>
      </c>
      <c r="E168">
        <v>12</v>
      </c>
    </row>
    <row r="169" spans="1:5" x14ac:dyDescent="0.25">
      <c r="A169" t="s">
        <v>325</v>
      </c>
      <c r="B169" t="s">
        <v>326</v>
      </c>
      <c r="C169">
        <v>3</v>
      </c>
      <c r="D169">
        <v>851.6</v>
      </c>
      <c r="E169">
        <v>12</v>
      </c>
    </row>
    <row r="170" spans="1:5" x14ac:dyDescent="0.25">
      <c r="A170" t="s">
        <v>327</v>
      </c>
      <c r="B170" t="s">
        <v>328</v>
      </c>
      <c r="C170">
        <v>3</v>
      </c>
      <c r="D170">
        <v>851.6</v>
      </c>
      <c r="E170">
        <v>12</v>
      </c>
    </row>
    <row r="171" spans="1:5" x14ac:dyDescent="0.25">
      <c r="A171" t="s">
        <v>329</v>
      </c>
      <c r="B171" t="s">
        <v>330</v>
      </c>
      <c r="C171">
        <v>3</v>
      </c>
      <c r="D171">
        <v>851.6</v>
      </c>
      <c r="E171">
        <v>12</v>
      </c>
    </row>
    <row r="172" spans="1:5" x14ac:dyDescent="0.25">
      <c r="A172" t="s">
        <v>331</v>
      </c>
      <c r="B172" t="s">
        <v>332</v>
      </c>
      <c r="C172">
        <v>3</v>
      </c>
      <c r="D172">
        <v>851.6</v>
      </c>
      <c r="E172">
        <v>5</v>
      </c>
    </row>
    <row r="173" spans="1:5" x14ac:dyDescent="0.25">
      <c r="A173" t="s">
        <v>333</v>
      </c>
      <c r="B173" t="s">
        <v>334</v>
      </c>
      <c r="C173">
        <v>3</v>
      </c>
      <c r="D173">
        <v>851.6</v>
      </c>
      <c r="E173">
        <v>12</v>
      </c>
    </row>
    <row r="174" spans="1:5" x14ac:dyDescent="0.25">
      <c r="A174" t="s">
        <v>335</v>
      </c>
      <c r="B174" t="s">
        <v>336</v>
      </c>
      <c r="C174">
        <v>3</v>
      </c>
      <c r="D174">
        <v>851.6</v>
      </c>
      <c r="E174">
        <v>12</v>
      </c>
    </row>
    <row r="175" spans="1:5" x14ac:dyDescent="0.25">
      <c r="A175" t="s">
        <v>337</v>
      </c>
      <c r="B175" t="s">
        <v>338</v>
      </c>
      <c r="C175">
        <v>3</v>
      </c>
      <c r="D175">
        <v>851.6</v>
      </c>
      <c r="E175">
        <v>5</v>
      </c>
    </row>
    <row r="176" spans="1:5" x14ac:dyDescent="0.25">
      <c r="A176" t="s">
        <v>339</v>
      </c>
      <c r="B176" t="s">
        <v>340</v>
      </c>
      <c r="C176">
        <v>3</v>
      </c>
      <c r="D176">
        <v>851.6</v>
      </c>
      <c r="E176">
        <v>12</v>
      </c>
    </row>
    <row r="177" spans="1:5" x14ac:dyDescent="0.25">
      <c r="A177" t="s">
        <v>341</v>
      </c>
      <c r="B177" t="s">
        <v>342</v>
      </c>
      <c r="C177">
        <v>3</v>
      </c>
      <c r="D177">
        <v>851.6</v>
      </c>
      <c r="E177">
        <v>1</v>
      </c>
    </row>
    <row r="178" spans="1:5" x14ac:dyDescent="0.25">
      <c r="A178" t="s">
        <v>343</v>
      </c>
      <c r="B178" t="s">
        <v>342</v>
      </c>
      <c r="C178">
        <v>3</v>
      </c>
      <c r="D178">
        <v>851.6</v>
      </c>
      <c r="E178">
        <v>1</v>
      </c>
    </row>
    <row r="179" spans="1:5" x14ac:dyDescent="0.25">
      <c r="A179" t="s">
        <v>344</v>
      </c>
      <c r="B179" t="s">
        <v>345</v>
      </c>
      <c r="C179">
        <v>3</v>
      </c>
      <c r="D179">
        <v>851.6</v>
      </c>
      <c r="E179">
        <v>8</v>
      </c>
    </row>
    <row r="180" spans="1:5" x14ac:dyDescent="0.25">
      <c r="A180" t="s">
        <v>346</v>
      </c>
      <c r="B180" t="s">
        <v>347</v>
      </c>
      <c r="C180">
        <v>3</v>
      </c>
      <c r="D180">
        <v>851.6</v>
      </c>
      <c r="E180">
        <v>8</v>
      </c>
    </row>
    <row r="181" spans="1:5" x14ac:dyDescent="0.25">
      <c r="A181" t="s">
        <v>348</v>
      </c>
      <c r="B181" t="s">
        <v>349</v>
      </c>
      <c r="C181">
        <v>4</v>
      </c>
      <c r="D181">
        <v>1135.4000000000001</v>
      </c>
      <c r="E181">
        <v>8</v>
      </c>
    </row>
    <row r="182" spans="1:5" x14ac:dyDescent="0.25">
      <c r="A182" t="s">
        <v>350</v>
      </c>
      <c r="B182" t="s">
        <v>351</v>
      </c>
      <c r="C182">
        <v>4</v>
      </c>
      <c r="D182">
        <v>1135.4000000000001</v>
      </c>
      <c r="E182">
        <v>8</v>
      </c>
    </row>
    <row r="183" spans="1:5" x14ac:dyDescent="0.25">
      <c r="A183" t="s">
        <v>352</v>
      </c>
      <c r="B183" t="s">
        <v>353</v>
      </c>
      <c r="C183">
        <v>4</v>
      </c>
      <c r="D183">
        <v>1135.4000000000001</v>
      </c>
      <c r="E183">
        <v>8</v>
      </c>
    </row>
    <row r="184" spans="1:5" x14ac:dyDescent="0.25">
      <c r="A184" t="s">
        <v>354</v>
      </c>
      <c r="B184" t="s">
        <v>355</v>
      </c>
      <c r="C184">
        <v>3</v>
      </c>
      <c r="D184">
        <v>851.6</v>
      </c>
      <c r="E184">
        <v>8</v>
      </c>
    </row>
    <row r="185" spans="1:5" x14ac:dyDescent="0.25">
      <c r="A185" t="s">
        <v>356</v>
      </c>
      <c r="B185" t="s">
        <v>357</v>
      </c>
      <c r="C185">
        <v>4</v>
      </c>
      <c r="D185">
        <v>1135.4000000000001</v>
      </c>
      <c r="E185">
        <v>8</v>
      </c>
    </row>
    <row r="186" spans="1:5" x14ac:dyDescent="0.25">
      <c r="A186" t="s">
        <v>358</v>
      </c>
      <c r="B186" t="s">
        <v>359</v>
      </c>
      <c r="C186">
        <v>3</v>
      </c>
      <c r="D186">
        <v>851.6</v>
      </c>
      <c r="E186">
        <v>8</v>
      </c>
    </row>
    <row r="187" spans="1:5" x14ac:dyDescent="0.25">
      <c r="A187" t="s">
        <v>360</v>
      </c>
      <c r="B187" t="s">
        <v>361</v>
      </c>
      <c r="C187">
        <v>3</v>
      </c>
      <c r="D187">
        <v>851.6</v>
      </c>
      <c r="E187">
        <v>8</v>
      </c>
    </row>
    <row r="188" spans="1:5" x14ac:dyDescent="0.25">
      <c r="A188" t="s">
        <v>362</v>
      </c>
      <c r="B188" t="s">
        <v>363</v>
      </c>
      <c r="C188">
        <v>3</v>
      </c>
      <c r="D188">
        <v>851.6</v>
      </c>
      <c r="E188">
        <v>5</v>
      </c>
    </row>
    <row r="189" spans="1:5" x14ac:dyDescent="0.25">
      <c r="A189" t="s">
        <v>364</v>
      </c>
      <c r="B189" t="s">
        <v>365</v>
      </c>
      <c r="C189">
        <v>3</v>
      </c>
      <c r="D189">
        <v>851.6</v>
      </c>
      <c r="E189">
        <v>5</v>
      </c>
    </row>
    <row r="190" spans="1:5" x14ac:dyDescent="0.25">
      <c r="A190" t="s">
        <v>366</v>
      </c>
      <c r="B190" t="s">
        <v>367</v>
      </c>
      <c r="C190">
        <v>3</v>
      </c>
      <c r="D190">
        <v>851.6</v>
      </c>
      <c r="E190">
        <v>5</v>
      </c>
    </row>
    <row r="191" spans="1:5" x14ac:dyDescent="0.25">
      <c r="A191" t="s">
        <v>368</v>
      </c>
      <c r="B191" t="s">
        <v>369</v>
      </c>
      <c r="C191">
        <v>3</v>
      </c>
      <c r="D191">
        <v>851.6</v>
      </c>
      <c r="E191">
        <v>8</v>
      </c>
    </row>
    <row r="192" spans="1:5" x14ac:dyDescent="0.25">
      <c r="A192" t="s">
        <v>370</v>
      </c>
      <c r="B192" t="s">
        <v>371</v>
      </c>
      <c r="C192">
        <v>3</v>
      </c>
      <c r="D192">
        <v>851.6</v>
      </c>
      <c r="E192">
        <v>5</v>
      </c>
    </row>
    <row r="193" spans="1:5" x14ac:dyDescent="0.25">
      <c r="A193" t="s">
        <v>372</v>
      </c>
      <c r="B193" t="s">
        <v>373</v>
      </c>
      <c r="C193">
        <v>3</v>
      </c>
      <c r="D193">
        <v>851.6</v>
      </c>
      <c r="E193">
        <v>1</v>
      </c>
    </row>
    <row r="194" spans="1:5" x14ac:dyDescent="0.25">
      <c r="A194" t="s">
        <v>374</v>
      </c>
      <c r="B194" t="s">
        <v>375</v>
      </c>
      <c r="C194">
        <v>3</v>
      </c>
      <c r="D194">
        <v>851.6</v>
      </c>
      <c r="E194">
        <v>5</v>
      </c>
    </row>
    <row r="195" spans="1:5" x14ac:dyDescent="0.25">
      <c r="A195" t="s">
        <v>376</v>
      </c>
      <c r="B195" t="s">
        <v>377</v>
      </c>
      <c r="C195">
        <v>3</v>
      </c>
      <c r="D195">
        <v>851.6</v>
      </c>
      <c r="E195">
        <v>5</v>
      </c>
    </row>
    <row r="196" spans="1:5" x14ac:dyDescent="0.25">
      <c r="A196" t="s">
        <v>378</v>
      </c>
      <c r="B196" t="s">
        <v>379</v>
      </c>
      <c r="C196">
        <v>3</v>
      </c>
      <c r="D196">
        <v>851.6</v>
      </c>
      <c r="E196">
        <v>5</v>
      </c>
    </row>
    <row r="197" spans="1:5" x14ac:dyDescent="0.25">
      <c r="A197" t="s">
        <v>380</v>
      </c>
      <c r="B197" t="s">
        <v>381</v>
      </c>
      <c r="C197">
        <v>3</v>
      </c>
      <c r="D197">
        <v>851.6</v>
      </c>
      <c r="E197">
        <v>5</v>
      </c>
    </row>
    <row r="198" spans="1:5" x14ac:dyDescent="0.25">
      <c r="A198" t="s">
        <v>382</v>
      </c>
      <c r="B198" t="s">
        <v>383</v>
      </c>
      <c r="C198">
        <v>6</v>
      </c>
      <c r="D198">
        <v>1703.1</v>
      </c>
      <c r="E198">
        <v>8</v>
      </c>
    </row>
    <row r="199" spans="1:5" x14ac:dyDescent="0.25">
      <c r="A199" t="s">
        <v>384</v>
      </c>
      <c r="B199" t="s">
        <v>385</v>
      </c>
      <c r="C199">
        <v>5</v>
      </c>
      <c r="D199">
        <v>1419.3</v>
      </c>
      <c r="E199">
        <v>8</v>
      </c>
    </row>
    <row r="200" spans="1:5" x14ac:dyDescent="0.25">
      <c r="A200" t="s">
        <v>386</v>
      </c>
      <c r="B200" t="s">
        <v>387</v>
      </c>
      <c r="C200">
        <v>5</v>
      </c>
      <c r="D200">
        <v>1419.3</v>
      </c>
      <c r="E200">
        <v>8</v>
      </c>
    </row>
    <row r="201" spans="1:5" x14ac:dyDescent="0.25">
      <c r="A201" t="s">
        <v>388</v>
      </c>
      <c r="B201" t="s">
        <v>389</v>
      </c>
      <c r="C201">
        <v>3</v>
      </c>
      <c r="D201">
        <v>851.6</v>
      </c>
      <c r="E201">
        <v>8</v>
      </c>
    </row>
    <row r="202" spans="1:5" x14ac:dyDescent="0.25">
      <c r="A202" t="s">
        <v>390</v>
      </c>
      <c r="B202" t="s">
        <v>391</v>
      </c>
      <c r="C202">
        <v>3</v>
      </c>
      <c r="D202">
        <v>851.6</v>
      </c>
      <c r="E202">
        <v>8</v>
      </c>
    </row>
    <row r="203" spans="1:5" x14ac:dyDescent="0.25">
      <c r="A203" t="s">
        <v>392</v>
      </c>
      <c r="B203" t="s">
        <v>393</v>
      </c>
      <c r="C203">
        <v>3</v>
      </c>
      <c r="D203">
        <v>851.6</v>
      </c>
      <c r="E203">
        <v>8</v>
      </c>
    </row>
    <row r="204" spans="1:5" x14ac:dyDescent="0.25">
      <c r="A204" t="s">
        <v>394</v>
      </c>
      <c r="B204" t="s">
        <v>395</v>
      </c>
      <c r="C204">
        <v>3</v>
      </c>
      <c r="D204">
        <v>851.6</v>
      </c>
      <c r="E204">
        <v>8</v>
      </c>
    </row>
    <row r="205" spans="1:5" x14ac:dyDescent="0.25">
      <c r="A205" t="s">
        <v>396</v>
      </c>
      <c r="B205" t="s">
        <v>397</v>
      </c>
      <c r="C205">
        <v>3</v>
      </c>
      <c r="D205">
        <v>851.6</v>
      </c>
      <c r="E205">
        <v>8</v>
      </c>
    </row>
    <row r="206" spans="1:5" x14ac:dyDescent="0.25">
      <c r="A206" t="s">
        <v>398</v>
      </c>
      <c r="B206" t="s">
        <v>399</v>
      </c>
      <c r="C206">
        <v>3</v>
      </c>
      <c r="D206">
        <v>851.6</v>
      </c>
      <c r="E206">
        <v>8</v>
      </c>
    </row>
    <row r="207" spans="1:5" x14ac:dyDescent="0.25">
      <c r="A207" t="s">
        <v>400</v>
      </c>
      <c r="B207" t="s">
        <v>401</v>
      </c>
      <c r="C207">
        <v>3</v>
      </c>
      <c r="D207">
        <v>851.6</v>
      </c>
      <c r="E207">
        <v>8</v>
      </c>
    </row>
    <row r="208" spans="1:5" x14ac:dyDescent="0.25">
      <c r="A208" t="s">
        <v>402</v>
      </c>
      <c r="B208" t="s">
        <v>403</v>
      </c>
      <c r="C208">
        <v>3</v>
      </c>
      <c r="D208">
        <v>851.6</v>
      </c>
      <c r="E208">
        <v>8</v>
      </c>
    </row>
    <row r="209" spans="1:5" x14ac:dyDescent="0.25">
      <c r="A209" t="s">
        <v>404</v>
      </c>
      <c r="B209" t="s">
        <v>405</v>
      </c>
      <c r="C209">
        <v>5</v>
      </c>
      <c r="D209">
        <v>1419.3</v>
      </c>
      <c r="E209">
        <v>8</v>
      </c>
    </row>
    <row r="210" spans="1:5" x14ac:dyDescent="0.25">
      <c r="A210" t="s">
        <v>406</v>
      </c>
      <c r="B210" t="s">
        <v>407</v>
      </c>
      <c r="C210">
        <v>3</v>
      </c>
      <c r="D210">
        <v>851.6</v>
      </c>
      <c r="E210">
        <v>8</v>
      </c>
    </row>
    <row r="211" spans="1:5" x14ac:dyDescent="0.25">
      <c r="A211" t="s">
        <v>408</v>
      </c>
      <c r="B211" t="s">
        <v>409</v>
      </c>
      <c r="C211">
        <v>3</v>
      </c>
      <c r="D211">
        <v>851.6</v>
      </c>
      <c r="E211">
        <v>8</v>
      </c>
    </row>
    <row r="212" spans="1:5" x14ac:dyDescent="0.25">
      <c r="A212" t="s">
        <v>410</v>
      </c>
      <c r="B212" t="s">
        <v>411</v>
      </c>
      <c r="C212">
        <v>3</v>
      </c>
      <c r="D212">
        <v>851.6</v>
      </c>
      <c r="E212">
        <v>8</v>
      </c>
    </row>
    <row r="213" spans="1:5" x14ac:dyDescent="0.25">
      <c r="A213" t="s">
        <v>412</v>
      </c>
      <c r="B213" t="s">
        <v>413</v>
      </c>
      <c r="C213">
        <v>3</v>
      </c>
      <c r="D213">
        <v>851.6</v>
      </c>
      <c r="E213">
        <v>8</v>
      </c>
    </row>
    <row r="214" spans="1:5" x14ac:dyDescent="0.25">
      <c r="A214" t="s">
        <v>414</v>
      </c>
      <c r="B214" t="s">
        <v>415</v>
      </c>
      <c r="C214">
        <v>3</v>
      </c>
      <c r="D214">
        <v>851.6</v>
      </c>
      <c r="E214">
        <v>8</v>
      </c>
    </row>
    <row r="215" spans="1:5" x14ac:dyDescent="0.25">
      <c r="A215" t="s">
        <v>416</v>
      </c>
      <c r="B215" t="s">
        <v>417</v>
      </c>
      <c r="C215">
        <v>4</v>
      </c>
      <c r="D215">
        <v>1135.4000000000001</v>
      </c>
      <c r="E215">
        <v>5</v>
      </c>
    </row>
    <row r="216" spans="1:5" x14ac:dyDescent="0.25">
      <c r="A216" t="s">
        <v>418</v>
      </c>
      <c r="B216" t="s">
        <v>419</v>
      </c>
      <c r="C216">
        <v>3</v>
      </c>
      <c r="D216">
        <v>851.6</v>
      </c>
      <c r="E216">
        <v>8</v>
      </c>
    </row>
    <row r="217" spans="1:5" x14ac:dyDescent="0.25">
      <c r="A217" t="s">
        <v>420</v>
      </c>
      <c r="B217" t="s">
        <v>421</v>
      </c>
      <c r="C217">
        <v>3</v>
      </c>
      <c r="D217">
        <v>851.6</v>
      </c>
      <c r="E217">
        <v>8</v>
      </c>
    </row>
    <row r="218" spans="1:5" x14ac:dyDescent="0.25">
      <c r="A218" t="s">
        <v>422</v>
      </c>
      <c r="B218" t="s">
        <v>423</v>
      </c>
      <c r="C218">
        <v>3</v>
      </c>
      <c r="D218">
        <v>851.6</v>
      </c>
      <c r="E218">
        <v>8</v>
      </c>
    </row>
    <row r="219" spans="1:5" x14ac:dyDescent="0.25">
      <c r="A219" t="s">
        <v>424</v>
      </c>
      <c r="B219" t="s">
        <v>425</v>
      </c>
      <c r="C219">
        <v>3</v>
      </c>
      <c r="D219">
        <v>851.6</v>
      </c>
      <c r="E219">
        <v>8</v>
      </c>
    </row>
    <row r="220" spans="1:5" x14ac:dyDescent="0.25">
      <c r="A220" t="s">
        <v>426</v>
      </c>
      <c r="B220" t="s">
        <v>427</v>
      </c>
      <c r="C220">
        <v>5</v>
      </c>
      <c r="D220">
        <v>1419.3</v>
      </c>
      <c r="E220">
        <v>8</v>
      </c>
    </row>
    <row r="221" spans="1:5" x14ac:dyDescent="0.25">
      <c r="A221" t="s">
        <v>428</v>
      </c>
      <c r="B221" t="s">
        <v>429</v>
      </c>
      <c r="C221">
        <v>3</v>
      </c>
      <c r="D221">
        <v>851.6</v>
      </c>
      <c r="E221">
        <v>10</v>
      </c>
    </row>
    <row r="222" spans="1:5" x14ac:dyDescent="0.25">
      <c r="A222" t="s">
        <v>430</v>
      </c>
      <c r="B222" t="s">
        <v>431</v>
      </c>
      <c r="C222">
        <v>5</v>
      </c>
      <c r="D222">
        <v>1419.3</v>
      </c>
      <c r="E222">
        <v>8</v>
      </c>
    </row>
    <row r="223" spans="1:5" x14ac:dyDescent="0.25">
      <c r="A223" t="s">
        <v>432</v>
      </c>
      <c r="B223" t="s">
        <v>433</v>
      </c>
      <c r="C223">
        <v>5</v>
      </c>
      <c r="D223">
        <v>1419.3</v>
      </c>
      <c r="E223">
        <v>8</v>
      </c>
    </row>
    <row r="224" spans="1:5" x14ac:dyDescent="0.25">
      <c r="A224" t="s">
        <v>434</v>
      </c>
      <c r="B224" t="s">
        <v>435</v>
      </c>
      <c r="C224">
        <v>5</v>
      </c>
      <c r="D224">
        <v>1419.3</v>
      </c>
      <c r="E224">
        <v>8</v>
      </c>
    </row>
    <row r="225" spans="1:5" x14ac:dyDescent="0.25">
      <c r="A225" t="s">
        <v>436</v>
      </c>
      <c r="B225" t="s">
        <v>437</v>
      </c>
      <c r="C225">
        <v>5</v>
      </c>
      <c r="D225">
        <v>1419.3</v>
      </c>
      <c r="E225">
        <v>8</v>
      </c>
    </row>
    <row r="226" spans="1:5" x14ac:dyDescent="0.25">
      <c r="A226" t="s">
        <v>438</v>
      </c>
      <c r="B226" t="s">
        <v>439</v>
      </c>
      <c r="C226">
        <v>5</v>
      </c>
      <c r="D226">
        <v>1419.3</v>
      </c>
      <c r="E226">
        <v>8</v>
      </c>
    </row>
    <row r="227" spans="1:5" x14ac:dyDescent="0.25">
      <c r="A227" t="s">
        <v>440</v>
      </c>
      <c r="B227" t="s">
        <v>441</v>
      </c>
      <c r="C227">
        <v>4</v>
      </c>
      <c r="D227">
        <v>1135.4000000000001</v>
      </c>
      <c r="E227">
        <v>8</v>
      </c>
    </row>
    <row r="228" spans="1:5" x14ac:dyDescent="0.25">
      <c r="A228" t="s">
        <v>442</v>
      </c>
      <c r="B228" t="s">
        <v>443</v>
      </c>
      <c r="C228">
        <v>4</v>
      </c>
      <c r="D228">
        <v>1135.4000000000001</v>
      </c>
      <c r="E228">
        <v>8</v>
      </c>
    </row>
    <row r="229" spans="1:5" x14ac:dyDescent="0.25">
      <c r="A229" t="s">
        <v>444</v>
      </c>
      <c r="B229" t="s">
        <v>443</v>
      </c>
      <c r="C229">
        <v>4</v>
      </c>
      <c r="D229">
        <v>1135.4000000000001</v>
      </c>
      <c r="E229">
        <v>8</v>
      </c>
    </row>
    <row r="230" spans="1:5" x14ac:dyDescent="0.25">
      <c r="A230" t="s">
        <v>445</v>
      </c>
      <c r="B230" t="s">
        <v>443</v>
      </c>
      <c r="C230">
        <v>4</v>
      </c>
      <c r="D230">
        <v>1135.4000000000001</v>
      </c>
      <c r="E230">
        <v>8</v>
      </c>
    </row>
    <row r="231" spans="1:5" x14ac:dyDescent="0.25">
      <c r="A231" t="s">
        <v>446</v>
      </c>
      <c r="B231" t="s">
        <v>443</v>
      </c>
      <c r="C231">
        <v>4</v>
      </c>
      <c r="D231">
        <v>1135.4000000000001</v>
      </c>
      <c r="E231">
        <v>8</v>
      </c>
    </row>
    <row r="232" spans="1:5" x14ac:dyDescent="0.25">
      <c r="A232" t="s">
        <v>447</v>
      </c>
      <c r="B232" t="s">
        <v>443</v>
      </c>
      <c r="C232">
        <v>4</v>
      </c>
      <c r="D232">
        <v>1135.4000000000001</v>
      </c>
      <c r="E232">
        <v>8</v>
      </c>
    </row>
    <row r="233" spans="1:5" x14ac:dyDescent="0.25">
      <c r="A233" t="s">
        <v>448</v>
      </c>
      <c r="B233" t="s">
        <v>443</v>
      </c>
      <c r="C233">
        <v>4</v>
      </c>
      <c r="D233">
        <v>1135.4000000000001</v>
      </c>
      <c r="E233">
        <v>8</v>
      </c>
    </row>
    <row r="234" spans="1:5" x14ac:dyDescent="0.25">
      <c r="A234" t="s">
        <v>449</v>
      </c>
      <c r="B234" t="s">
        <v>443</v>
      </c>
      <c r="C234">
        <v>4</v>
      </c>
      <c r="D234">
        <v>1135.4000000000001</v>
      </c>
      <c r="E234">
        <v>8</v>
      </c>
    </row>
    <row r="235" spans="1:5" x14ac:dyDescent="0.25">
      <c r="A235" t="s">
        <v>450</v>
      </c>
      <c r="B235" t="s">
        <v>451</v>
      </c>
      <c r="C235">
        <v>3</v>
      </c>
      <c r="D235">
        <v>851.6</v>
      </c>
      <c r="E235">
        <v>1</v>
      </c>
    </row>
    <row r="236" spans="1:5" x14ac:dyDescent="0.25">
      <c r="A236" t="s">
        <v>452</v>
      </c>
      <c r="B236" t="s">
        <v>453</v>
      </c>
      <c r="C236">
        <v>3</v>
      </c>
      <c r="D236">
        <v>851.6</v>
      </c>
      <c r="E236">
        <v>1</v>
      </c>
    </row>
    <row r="237" spans="1:5" x14ac:dyDescent="0.25">
      <c r="A237" t="s">
        <v>454</v>
      </c>
      <c r="B237" t="s">
        <v>455</v>
      </c>
      <c r="C237">
        <v>3</v>
      </c>
      <c r="D237">
        <v>851.6</v>
      </c>
      <c r="E237">
        <v>1</v>
      </c>
    </row>
    <row r="238" spans="1:5" x14ac:dyDescent="0.25">
      <c r="A238" t="s">
        <v>456</v>
      </c>
      <c r="B238" t="s">
        <v>457</v>
      </c>
      <c r="C238">
        <v>5</v>
      </c>
      <c r="D238">
        <v>1419.3</v>
      </c>
      <c r="E238">
        <v>3</v>
      </c>
    </row>
    <row r="239" spans="1:5" x14ac:dyDescent="0.25">
      <c r="A239" t="s">
        <v>458</v>
      </c>
      <c r="B239" t="s">
        <v>459</v>
      </c>
      <c r="C239">
        <v>4</v>
      </c>
      <c r="D239">
        <v>1135.4000000000001</v>
      </c>
      <c r="E239">
        <v>3</v>
      </c>
    </row>
    <row r="240" spans="1:5" x14ac:dyDescent="0.25">
      <c r="A240" t="s">
        <v>460</v>
      </c>
      <c r="B240" t="s">
        <v>461</v>
      </c>
      <c r="C240">
        <v>4</v>
      </c>
      <c r="D240">
        <v>1135.4000000000001</v>
      </c>
      <c r="E240">
        <v>4</v>
      </c>
    </row>
    <row r="241" spans="1:5" x14ac:dyDescent="0.25">
      <c r="A241" t="s">
        <v>462</v>
      </c>
      <c r="B241" t="s">
        <v>463</v>
      </c>
      <c r="C241">
        <v>3</v>
      </c>
      <c r="D241">
        <v>851.6</v>
      </c>
      <c r="E241">
        <v>8</v>
      </c>
    </row>
    <row r="242" spans="1:5" x14ac:dyDescent="0.25">
      <c r="A242" t="s">
        <v>464</v>
      </c>
      <c r="B242" t="s">
        <v>463</v>
      </c>
      <c r="C242">
        <v>3</v>
      </c>
      <c r="D242">
        <v>851.6</v>
      </c>
      <c r="E242">
        <v>8</v>
      </c>
    </row>
    <row r="243" spans="1:5" x14ac:dyDescent="0.25">
      <c r="A243" t="s">
        <v>465</v>
      </c>
      <c r="B243" t="s">
        <v>466</v>
      </c>
      <c r="C243">
        <v>4</v>
      </c>
      <c r="D243">
        <v>1135.4000000000001</v>
      </c>
      <c r="E243">
        <v>1</v>
      </c>
    </row>
    <row r="244" spans="1:5" x14ac:dyDescent="0.25">
      <c r="A244" t="s">
        <v>467</v>
      </c>
      <c r="B244" t="s">
        <v>468</v>
      </c>
      <c r="C244">
        <v>4</v>
      </c>
      <c r="D244">
        <v>1135.4000000000001</v>
      </c>
      <c r="E244">
        <v>1</v>
      </c>
    </row>
    <row r="245" spans="1:5" x14ac:dyDescent="0.25">
      <c r="A245" t="s">
        <v>469</v>
      </c>
      <c r="B245" t="s">
        <v>470</v>
      </c>
      <c r="C245">
        <v>4</v>
      </c>
      <c r="D245">
        <v>1135.4000000000001</v>
      </c>
      <c r="E245">
        <v>1</v>
      </c>
    </row>
    <row r="246" spans="1:5" x14ac:dyDescent="0.25">
      <c r="A246" t="s">
        <v>471</v>
      </c>
      <c r="B246" t="s">
        <v>472</v>
      </c>
      <c r="C246">
        <v>4</v>
      </c>
      <c r="D246">
        <v>1135.4000000000001</v>
      </c>
      <c r="E246">
        <v>1</v>
      </c>
    </row>
    <row r="247" spans="1:5" x14ac:dyDescent="0.25">
      <c r="A247" t="s">
        <v>473</v>
      </c>
      <c r="B247" t="s">
        <v>474</v>
      </c>
      <c r="C247">
        <v>4</v>
      </c>
      <c r="D247">
        <v>1135.4000000000001</v>
      </c>
      <c r="E247">
        <v>1</v>
      </c>
    </row>
    <row r="248" spans="1:5" x14ac:dyDescent="0.25">
      <c r="A248" t="s">
        <v>475</v>
      </c>
      <c r="B248" t="s">
        <v>476</v>
      </c>
      <c r="C248">
        <v>4</v>
      </c>
      <c r="D248">
        <v>1135.4000000000001</v>
      </c>
      <c r="E248">
        <v>1</v>
      </c>
    </row>
    <row r="249" spans="1:5" x14ac:dyDescent="0.25">
      <c r="A249" t="s">
        <v>477</v>
      </c>
      <c r="B249" t="s">
        <v>478</v>
      </c>
      <c r="C249">
        <v>4</v>
      </c>
      <c r="D249">
        <v>1135.4000000000001</v>
      </c>
      <c r="E249">
        <v>1</v>
      </c>
    </row>
    <row r="250" spans="1:5" x14ac:dyDescent="0.25">
      <c r="A250" t="s">
        <v>479</v>
      </c>
      <c r="B250" t="s">
        <v>480</v>
      </c>
      <c r="C250">
        <v>4</v>
      </c>
      <c r="D250">
        <v>1135.4000000000001</v>
      </c>
      <c r="E250">
        <v>1</v>
      </c>
    </row>
    <row r="251" spans="1:5" x14ac:dyDescent="0.25">
      <c r="A251" t="s">
        <v>481</v>
      </c>
      <c r="B251" t="s">
        <v>482</v>
      </c>
      <c r="C251">
        <v>4</v>
      </c>
      <c r="D251">
        <v>1135.4000000000001</v>
      </c>
      <c r="E251">
        <v>1</v>
      </c>
    </row>
    <row r="252" spans="1:5" x14ac:dyDescent="0.25">
      <c r="A252" t="s">
        <v>483</v>
      </c>
      <c r="B252" t="s">
        <v>484</v>
      </c>
      <c r="C252">
        <v>4</v>
      </c>
      <c r="D252">
        <v>1135.4000000000001</v>
      </c>
      <c r="E252">
        <v>1</v>
      </c>
    </row>
    <row r="253" spans="1:5" x14ac:dyDescent="0.25">
      <c r="A253" t="s">
        <v>485</v>
      </c>
      <c r="B253" t="s">
        <v>486</v>
      </c>
      <c r="C253">
        <v>6</v>
      </c>
      <c r="D253">
        <v>1703.1</v>
      </c>
      <c r="E253">
        <v>1</v>
      </c>
    </row>
    <row r="254" spans="1:5" x14ac:dyDescent="0.25">
      <c r="A254" t="s">
        <v>487</v>
      </c>
      <c r="B254" t="s">
        <v>488</v>
      </c>
      <c r="C254">
        <v>5</v>
      </c>
      <c r="D254">
        <v>1419.3</v>
      </c>
      <c r="E254">
        <v>1</v>
      </c>
    </row>
    <row r="255" spans="1:5" x14ac:dyDescent="0.25">
      <c r="A255" t="s">
        <v>489</v>
      </c>
      <c r="B255" t="s">
        <v>490</v>
      </c>
      <c r="C255">
        <v>6</v>
      </c>
      <c r="D255">
        <v>1703.1</v>
      </c>
      <c r="E255">
        <v>12</v>
      </c>
    </row>
    <row r="256" spans="1:5" x14ac:dyDescent="0.25">
      <c r="A256" t="s">
        <v>491</v>
      </c>
      <c r="B256" t="s">
        <v>492</v>
      </c>
      <c r="C256">
        <v>4</v>
      </c>
      <c r="D256">
        <v>1135.4000000000001</v>
      </c>
      <c r="E256">
        <v>1</v>
      </c>
    </row>
    <row r="257" spans="1:5" x14ac:dyDescent="0.25">
      <c r="A257" t="s">
        <v>493</v>
      </c>
      <c r="B257" t="s">
        <v>494</v>
      </c>
      <c r="C257">
        <v>6</v>
      </c>
      <c r="D257">
        <v>1703.1</v>
      </c>
      <c r="E257">
        <v>1</v>
      </c>
    </row>
    <row r="258" spans="1:5" x14ac:dyDescent="0.25">
      <c r="A258" t="s">
        <v>495</v>
      </c>
      <c r="B258" t="s">
        <v>496</v>
      </c>
      <c r="C258">
        <v>4</v>
      </c>
      <c r="D258">
        <v>1135.4000000000001</v>
      </c>
      <c r="E258">
        <v>1</v>
      </c>
    </row>
    <row r="259" spans="1:5" x14ac:dyDescent="0.25">
      <c r="A259" t="s">
        <v>497</v>
      </c>
      <c r="B259" t="s">
        <v>498</v>
      </c>
      <c r="C259">
        <v>4</v>
      </c>
      <c r="D259">
        <v>1135.4000000000001</v>
      </c>
      <c r="E259">
        <v>1</v>
      </c>
    </row>
    <row r="260" spans="1:5" x14ac:dyDescent="0.25">
      <c r="A260" t="s">
        <v>499</v>
      </c>
      <c r="B260" t="s">
        <v>500</v>
      </c>
      <c r="C260">
        <v>11</v>
      </c>
      <c r="D260">
        <v>3122.4</v>
      </c>
      <c r="E260">
        <v>3</v>
      </c>
    </row>
    <row r="261" spans="1:5" x14ac:dyDescent="0.25">
      <c r="A261" t="s">
        <v>501</v>
      </c>
      <c r="B261" t="s">
        <v>502</v>
      </c>
      <c r="C261">
        <v>4</v>
      </c>
      <c r="D261">
        <v>1135.4000000000001</v>
      </c>
      <c r="E261">
        <v>6</v>
      </c>
    </row>
    <row r="262" spans="1:5" x14ac:dyDescent="0.25">
      <c r="A262" t="s">
        <v>503</v>
      </c>
      <c r="B262" t="s">
        <v>504</v>
      </c>
      <c r="C262">
        <v>4</v>
      </c>
      <c r="D262">
        <v>1135.4000000000001</v>
      </c>
      <c r="E262">
        <v>1</v>
      </c>
    </row>
    <row r="263" spans="1:5" x14ac:dyDescent="0.25">
      <c r="A263" t="s">
        <v>505</v>
      </c>
      <c r="B263" t="s">
        <v>506</v>
      </c>
      <c r="C263">
        <v>4</v>
      </c>
      <c r="D263">
        <v>1135.4000000000001</v>
      </c>
      <c r="E263">
        <v>6</v>
      </c>
    </row>
    <row r="264" spans="1:5" x14ac:dyDescent="0.25">
      <c r="A264" t="s">
        <v>507</v>
      </c>
      <c r="B264" t="s">
        <v>508</v>
      </c>
      <c r="C264">
        <v>4</v>
      </c>
      <c r="D264">
        <v>1135.4000000000001</v>
      </c>
      <c r="E264">
        <v>1</v>
      </c>
    </row>
    <row r="265" spans="1:5" x14ac:dyDescent="0.25">
      <c r="A265" t="s">
        <v>509</v>
      </c>
      <c r="B265" t="s">
        <v>510</v>
      </c>
      <c r="C265">
        <v>4</v>
      </c>
      <c r="D265">
        <v>1135.4000000000001</v>
      </c>
      <c r="E265">
        <v>1</v>
      </c>
    </row>
    <row r="266" spans="1:5" x14ac:dyDescent="0.25">
      <c r="A266" t="s">
        <v>511</v>
      </c>
      <c r="B266" t="s">
        <v>512</v>
      </c>
      <c r="C266">
        <v>5</v>
      </c>
      <c r="D266">
        <v>1419.3</v>
      </c>
      <c r="E266">
        <v>1</v>
      </c>
    </row>
    <row r="267" spans="1:5" x14ac:dyDescent="0.25">
      <c r="A267" t="s">
        <v>513</v>
      </c>
      <c r="B267" t="s">
        <v>514</v>
      </c>
      <c r="C267">
        <v>7</v>
      </c>
      <c r="D267">
        <v>1987</v>
      </c>
      <c r="E267">
        <v>2</v>
      </c>
    </row>
    <row r="268" spans="1:5" x14ac:dyDescent="0.25">
      <c r="A268" t="s">
        <v>515</v>
      </c>
      <c r="B268" t="s">
        <v>516</v>
      </c>
      <c r="C268">
        <v>5</v>
      </c>
      <c r="D268">
        <v>1419.3</v>
      </c>
      <c r="E268">
        <v>1</v>
      </c>
    </row>
    <row r="269" spans="1:5" x14ac:dyDescent="0.25">
      <c r="A269" t="s">
        <v>517</v>
      </c>
      <c r="B269" t="s">
        <v>518</v>
      </c>
      <c r="C269">
        <v>5</v>
      </c>
      <c r="D269">
        <v>1419.3</v>
      </c>
      <c r="E269">
        <v>1</v>
      </c>
    </row>
    <row r="270" spans="1:5" x14ac:dyDescent="0.25">
      <c r="A270" t="s">
        <v>519</v>
      </c>
      <c r="B270" t="s">
        <v>520</v>
      </c>
      <c r="C270">
        <v>5</v>
      </c>
      <c r="D270">
        <v>1419.3</v>
      </c>
      <c r="E270">
        <v>1</v>
      </c>
    </row>
    <row r="271" spans="1:5" x14ac:dyDescent="0.25">
      <c r="A271" t="s">
        <v>521</v>
      </c>
      <c r="B271" t="s">
        <v>522</v>
      </c>
      <c r="C271">
        <v>5</v>
      </c>
      <c r="D271">
        <v>1419.3</v>
      </c>
      <c r="E271">
        <v>1</v>
      </c>
    </row>
    <row r="272" spans="1:5" x14ac:dyDescent="0.25">
      <c r="A272" t="s">
        <v>523</v>
      </c>
      <c r="B272" t="s">
        <v>524</v>
      </c>
      <c r="C272">
        <v>5</v>
      </c>
      <c r="D272">
        <v>1419.3</v>
      </c>
      <c r="E272">
        <v>1</v>
      </c>
    </row>
    <row r="273" spans="1:5" x14ac:dyDescent="0.25">
      <c r="A273" t="s">
        <v>525</v>
      </c>
      <c r="B273" t="s">
        <v>526</v>
      </c>
      <c r="C273">
        <v>5</v>
      </c>
      <c r="D273">
        <v>1419.3</v>
      </c>
      <c r="E273">
        <v>1</v>
      </c>
    </row>
    <row r="274" spans="1:5" x14ac:dyDescent="0.25">
      <c r="A274" t="s">
        <v>527</v>
      </c>
      <c r="B274" t="s">
        <v>528</v>
      </c>
      <c r="C274">
        <v>5</v>
      </c>
      <c r="D274">
        <v>1419.3</v>
      </c>
      <c r="E274">
        <v>1</v>
      </c>
    </row>
    <row r="275" spans="1:5" x14ac:dyDescent="0.25">
      <c r="A275" t="s">
        <v>529</v>
      </c>
      <c r="B275" t="s">
        <v>530</v>
      </c>
      <c r="C275">
        <v>4</v>
      </c>
      <c r="D275">
        <v>1135.4000000000001</v>
      </c>
      <c r="E275">
        <v>1</v>
      </c>
    </row>
    <row r="276" spans="1:5" x14ac:dyDescent="0.25">
      <c r="A276" t="s">
        <v>531</v>
      </c>
      <c r="B276" t="s">
        <v>532</v>
      </c>
      <c r="C276">
        <v>6</v>
      </c>
      <c r="D276">
        <v>1703.1</v>
      </c>
      <c r="E276">
        <v>1</v>
      </c>
    </row>
    <row r="277" spans="1:5" x14ac:dyDescent="0.25">
      <c r="A277" t="s">
        <v>533</v>
      </c>
      <c r="B277" t="s">
        <v>534</v>
      </c>
      <c r="C277">
        <v>4</v>
      </c>
      <c r="D277">
        <v>1135.4000000000001</v>
      </c>
      <c r="E277">
        <v>1</v>
      </c>
    </row>
    <row r="278" spans="1:5" x14ac:dyDescent="0.25">
      <c r="A278" t="s">
        <v>535</v>
      </c>
      <c r="B278" t="s">
        <v>536</v>
      </c>
      <c r="C278">
        <v>5</v>
      </c>
      <c r="D278">
        <v>1419.3</v>
      </c>
      <c r="E278">
        <v>3</v>
      </c>
    </row>
    <row r="279" spans="1:5" x14ac:dyDescent="0.25">
      <c r="A279" t="s">
        <v>537</v>
      </c>
      <c r="B279" t="s">
        <v>536</v>
      </c>
      <c r="C279">
        <v>5</v>
      </c>
      <c r="D279">
        <v>1419.3</v>
      </c>
      <c r="E279">
        <v>3</v>
      </c>
    </row>
    <row r="280" spans="1:5" x14ac:dyDescent="0.25">
      <c r="A280" t="s">
        <v>538</v>
      </c>
      <c r="B280" t="s">
        <v>539</v>
      </c>
      <c r="C280">
        <v>6</v>
      </c>
      <c r="D280">
        <v>1703.1</v>
      </c>
      <c r="E280">
        <v>1</v>
      </c>
    </row>
    <row r="281" spans="1:5" x14ac:dyDescent="0.25">
      <c r="A281" t="s">
        <v>540</v>
      </c>
      <c r="B281" t="s">
        <v>541</v>
      </c>
      <c r="C281">
        <v>5</v>
      </c>
      <c r="D281">
        <v>1419.3</v>
      </c>
      <c r="E281">
        <v>1</v>
      </c>
    </row>
    <row r="282" spans="1:5" x14ac:dyDescent="0.25">
      <c r="A282" t="s">
        <v>542</v>
      </c>
      <c r="B282" t="s">
        <v>543</v>
      </c>
      <c r="C282">
        <v>6</v>
      </c>
      <c r="D282">
        <v>1703.1</v>
      </c>
      <c r="E282">
        <v>1</v>
      </c>
    </row>
    <row r="283" spans="1:5" x14ac:dyDescent="0.25">
      <c r="A283" t="s">
        <v>544</v>
      </c>
      <c r="B283" t="s">
        <v>545</v>
      </c>
      <c r="C283">
        <v>6</v>
      </c>
      <c r="D283">
        <v>1703.1</v>
      </c>
      <c r="E283">
        <v>1</v>
      </c>
    </row>
    <row r="284" spans="1:5" x14ac:dyDescent="0.25">
      <c r="A284" t="s">
        <v>546</v>
      </c>
      <c r="B284" t="s">
        <v>547</v>
      </c>
      <c r="C284">
        <v>5</v>
      </c>
      <c r="D284">
        <v>1419.3</v>
      </c>
      <c r="E284">
        <v>3</v>
      </c>
    </row>
    <row r="285" spans="1:5" x14ac:dyDescent="0.25">
      <c r="A285" t="s">
        <v>548</v>
      </c>
      <c r="B285" t="s">
        <v>549</v>
      </c>
      <c r="C285">
        <v>7</v>
      </c>
      <c r="D285">
        <v>1987</v>
      </c>
      <c r="E285">
        <v>3</v>
      </c>
    </row>
    <row r="286" spans="1:5" x14ac:dyDescent="0.25">
      <c r="A286" t="s">
        <v>550</v>
      </c>
      <c r="B286" t="s">
        <v>551</v>
      </c>
      <c r="C286">
        <v>34</v>
      </c>
      <c r="D286">
        <v>1359.4</v>
      </c>
      <c r="E286">
        <v>3</v>
      </c>
    </row>
    <row r="287" spans="1:5" x14ac:dyDescent="0.25">
      <c r="A287" t="s">
        <v>552</v>
      </c>
      <c r="B287" t="s">
        <v>553</v>
      </c>
      <c r="C287">
        <v>6</v>
      </c>
      <c r="D287">
        <v>1703.1</v>
      </c>
      <c r="E287">
        <v>3</v>
      </c>
    </row>
    <row r="288" spans="1:5" x14ac:dyDescent="0.25">
      <c r="A288" t="s">
        <v>554</v>
      </c>
      <c r="B288" t="s">
        <v>555</v>
      </c>
      <c r="C288">
        <v>9</v>
      </c>
      <c r="D288">
        <v>2554.6999999999998</v>
      </c>
      <c r="E288">
        <v>3</v>
      </c>
    </row>
    <row r="289" spans="1:5" x14ac:dyDescent="0.25">
      <c r="A289" t="s">
        <v>556</v>
      </c>
      <c r="B289" t="s">
        <v>557</v>
      </c>
      <c r="C289">
        <v>8</v>
      </c>
      <c r="D289">
        <v>2270.8000000000002</v>
      </c>
      <c r="E289">
        <v>2</v>
      </c>
    </row>
    <row r="290" spans="1:5" x14ac:dyDescent="0.25">
      <c r="A290" t="s">
        <v>558</v>
      </c>
      <c r="B290" t="s">
        <v>559</v>
      </c>
      <c r="C290">
        <v>6</v>
      </c>
      <c r="D290">
        <v>1703.1</v>
      </c>
      <c r="E290">
        <v>3</v>
      </c>
    </row>
    <row r="291" spans="1:5" x14ac:dyDescent="0.25">
      <c r="A291" t="s">
        <v>560</v>
      </c>
      <c r="B291" t="s">
        <v>561</v>
      </c>
      <c r="C291">
        <v>6</v>
      </c>
      <c r="D291">
        <v>1703.1</v>
      </c>
      <c r="E291">
        <v>3</v>
      </c>
    </row>
    <row r="292" spans="1:5" x14ac:dyDescent="0.25">
      <c r="A292" t="s">
        <v>562</v>
      </c>
      <c r="B292" t="s">
        <v>563</v>
      </c>
      <c r="C292">
        <v>6</v>
      </c>
      <c r="D292">
        <v>1703.1</v>
      </c>
      <c r="E292">
        <v>3</v>
      </c>
    </row>
    <row r="293" spans="1:5" x14ac:dyDescent="0.25">
      <c r="A293" t="s">
        <v>564</v>
      </c>
      <c r="B293" t="s">
        <v>565</v>
      </c>
      <c r="C293">
        <v>8</v>
      </c>
      <c r="D293">
        <v>2270.8000000000002</v>
      </c>
      <c r="E293">
        <v>3</v>
      </c>
    </row>
    <row r="294" spans="1:5" x14ac:dyDescent="0.25">
      <c r="A294" t="s">
        <v>566</v>
      </c>
      <c r="B294" t="s">
        <v>567</v>
      </c>
      <c r="C294">
        <v>8</v>
      </c>
      <c r="D294">
        <v>2270.8000000000002</v>
      </c>
      <c r="E294">
        <v>3</v>
      </c>
    </row>
    <row r="295" spans="1:5" x14ac:dyDescent="0.25">
      <c r="A295" t="s">
        <v>568</v>
      </c>
      <c r="B295" t="s">
        <v>569</v>
      </c>
      <c r="C295">
        <v>12</v>
      </c>
      <c r="D295">
        <v>3406.3</v>
      </c>
      <c r="E295">
        <v>0</v>
      </c>
    </row>
    <row r="296" spans="1:5" x14ac:dyDescent="0.25">
      <c r="A296" t="s">
        <v>570</v>
      </c>
      <c r="B296" t="s">
        <v>571</v>
      </c>
      <c r="C296">
        <v>3</v>
      </c>
      <c r="D296">
        <v>851.6</v>
      </c>
      <c r="E296">
        <v>0</v>
      </c>
    </row>
    <row r="297" spans="1:5" x14ac:dyDescent="0.25">
      <c r="A297" t="s">
        <v>572</v>
      </c>
      <c r="B297" t="s">
        <v>573</v>
      </c>
      <c r="C297">
        <v>6</v>
      </c>
      <c r="D297">
        <v>1703.1</v>
      </c>
      <c r="E297">
        <v>11</v>
      </c>
    </row>
    <row r="298" spans="1:5" x14ac:dyDescent="0.25">
      <c r="A298" t="s">
        <v>574</v>
      </c>
      <c r="B298" t="s">
        <v>575</v>
      </c>
      <c r="C298">
        <v>36</v>
      </c>
      <c r="D298">
        <v>1439.4</v>
      </c>
      <c r="E298">
        <v>0</v>
      </c>
    </row>
    <row r="299" spans="1:5" x14ac:dyDescent="0.25">
      <c r="A299" t="s">
        <v>576</v>
      </c>
      <c r="B299" t="s">
        <v>577</v>
      </c>
      <c r="C299">
        <v>11</v>
      </c>
      <c r="D299">
        <v>3122.4</v>
      </c>
      <c r="E299">
        <v>0</v>
      </c>
    </row>
    <row r="300" spans="1:5" x14ac:dyDescent="0.25">
      <c r="A300" t="s">
        <v>578</v>
      </c>
      <c r="B300" t="s">
        <v>579</v>
      </c>
      <c r="C300">
        <v>5</v>
      </c>
      <c r="D300">
        <v>1419.3</v>
      </c>
      <c r="E300">
        <v>0</v>
      </c>
    </row>
    <row r="301" spans="1:5" x14ac:dyDescent="0.25">
      <c r="A301" t="s">
        <v>580</v>
      </c>
      <c r="B301" t="s">
        <v>581</v>
      </c>
      <c r="C301">
        <v>11</v>
      </c>
      <c r="D301">
        <v>3122.4</v>
      </c>
      <c r="E301">
        <v>0</v>
      </c>
    </row>
    <row r="302" spans="1:5" x14ac:dyDescent="0.25">
      <c r="A302" t="s">
        <v>582</v>
      </c>
      <c r="B302" t="s">
        <v>583</v>
      </c>
      <c r="C302">
        <v>11</v>
      </c>
      <c r="D302">
        <v>3122.4</v>
      </c>
      <c r="E302">
        <v>0</v>
      </c>
    </row>
    <row r="303" spans="1:5" x14ac:dyDescent="0.25">
      <c r="A303" t="s">
        <v>584</v>
      </c>
      <c r="B303" t="s">
        <v>585</v>
      </c>
      <c r="C303">
        <v>11</v>
      </c>
      <c r="D303">
        <v>3122.4</v>
      </c>
      <c r="E303">
        <v>0</v>
      </c>
    </row>
    <row r="304" spans="1:5" x14ac:dyDescent="0.25">
      <c r="A304" t="s">
        <v>586</v>
      </c>
      <c r="B304" t="s">
        <v>587</v>
      </c>
      <c r="C304">
        <v>8</v>
      </c>
      <c r="D304">
        <v>2270.8000000000002</v>
      </c>
      <c r="E304">
        <v>3</v>
      </c>
    </row>
    <row r="305" spans="1:5" x14ac:dyDescent="0.25">
      <c r="A305" t="s">
        <v>588</v>
      </c>
      <c r="B305" t="s">
        <v>589</v>
      </c>
      <c r="C305">
        <v>12</v>
      </c>
      <c r="D305">
        <v>3406.3</v>
      </c>
      <c r="E305">
        <v>3</v>
      </c>
    </row>
    <row r="306" spans="1:5" x14ac:dyDescent="0.25">
      <c r="A306" t="s">
        <v>590</v>
      </c>
      <c r="B306" t="s">
        <v>591</v>
      </c>
      <c r="C306">
        <v>12</v>
      </c>
      <c r="D306">
        <v>3406.3</v>
      </c>
      <c r="E306">
        <v>0</v>
      </c>
    </row>
    <row r="307" spans="1:5" x14ac:dyDescent="0.25">
      <c r="A307" t="s">
        <v>592</v>
      </c>
      <c r="B307" t="s">
        <v>593</v>
      </c>
      <c r="C307">
        <v>11</v>
      </c>
      <c r="D307">
        <v>3122.4</v>
      </c>
      <c r="E307">
        <v>0</v>
      </c>
    </row>
    <row r="308" spans="1:5" x14ac:dyDescent="0.25">
      <c r="A308" t="s">
        <v>594</v>
      </c>
      <c r="B308" t="s">
        <v>595</v>
      </c>
      <c r="C308">
        <v>11</v>
      </c>
      <c r="D308">
        <v>3122.4</v>
      </c>
      <c r="E308">
        <v>0</v>
      </c>
    </row>
    <row r="309" spans="1:5" x14ac:dyDescent="0.25">
      <c r="A309" t="s">
        <v>596</v>
      </c>
      <c r="B309" t="s">
        <v>597</v>
      </c>
      <c r="C309">
        <v>11</v>
      </c>
      <c r="D309">
        <v>3122.4</v>
      </c>
      <c r="E309">
        <v>0</v>
      </c>
    </row>
    <row r="310" spans="1:5" x14ac:dyDescent="0.25">
      <c r="A310" t="s">
        <v>598</v>
      </c>
      <c r="B310" t="s">
        <v>599</v>
      </c>
      <c r="C310">
        <v>11</v>
      </c>
      <c r="D310">
        <v>3122.4</v>
      </c>
      <c r="E310">
        <v>0</v>
      </c>
    </row>
    <row r="311" spans="1:5" x14ac:dyDescent="0.25">
      <c r="A311" t="s">
        <v>600</v>
      </c>
      <c r="B311" t="s">
        <v>601</v>
      </c>
      <c r="C311">
        <v>15</v>
      </c>
      <c r="D311">
        <v>4257.8</v>
      </c>
      <c r="E311">
        <v>0</v>
      </c>
    </row>
    <row r="312" spans="1:5" x14ac:dyDescent="0.25">
      <c r="A312" t="s">
        <v>602</v>
      </c>
      <c r="B312" t="s">
        <v>603</v>
      </c>
      <c r="C312">
        <v>5</v>
      </c>
      <c r="D312">
        <v>1419.3</v>
      </c>
      <c r="E312">
        <v>0</v>
      </c>
    </row>
    <row r="313" spans="1:5" x14ac:dyDescent="0.25">
      <c r="A313" t="s">
        <v>604</v>
      </c>
      <c r="B313" t="s">
        <v>605</v>
      </c>
      <c r="C313">
        <v>24</v>
      </c>
      <c r="D313">
        <v>959.6</v>
      </c>
      <c r="E313">
        <v>2</v>
      </c>
    </row>
    <row r="314" spans="1:5" x14ac:dyDescent="0.25">
      <c r="A314" t="s">
        <v>606</v>
      </c>
      <c r="B314" t="s">
        <v>607</v>
      </c>
      <c r="C314">
        <v>40</v>
      </c>
      <c r="D314">
        <v>1599.3</v>
      </c>
      <c r="E314">
        <v>11</v>
      </c>
    </row>
    <row r="315" spans="1:5" x14ac:dyDescent="0.25">
      <c r="A315" t="s">
        <v>608</v>
      </c>
      <c r="B315" t="s">
        <v>609</v>
      </c>
      <c r="C315">
        <v>25</v>
      </c>
      <c r="D315">
        <v>999.6</v>
      </c>
      <c r="E315">
        <v>12</v>
      </c>
    </row>
    <row r="316" spans="1:5" x14ac:dyDescent="0.25">
      <c r="A316" t="s">
        <v>610</v>
      </c>
      <c r="B316" t="s">
        <v>611</v>
      </c>
      <c r="C316">
        <v>50</v>
      </c>
      <c r="D316">
        <v>1999.1</v>
      </c>
      <c r="E316">
        <v>11</v>
      </c>
    </row>
    <row r="317" spans="1:5" x14ac:dyDescent="0.25">
      <c r="A317" t="s">
        <v>612</v>
      </c>
      <c r="B317" t="s">
        <v>613</v>
      </c>
      <c r="C317">
        <v>10</v>
      </c>
      <c r="D317">
        <v>399.8</v>
      </c>
      <c r="E317">
        <v>12</v>
      </c>
    </row>
    <row r="318" spans="1:5" x14ac:dyDescent="0.25">
      <c r="A318" t="s">
        <v>614</v>
      </c>
      <c r="B318" t="s">
        <v>615</v>
      </c>
      <c r="C318">
        <v>25</v>
      </c>
      <c r="D318">
        <v>999.6</v>
      </c>
      <c r="E318">
        <v>12</v>
      </c>
    </row>
    <row r="319" spans="1:5" x14ac:dyDescent="0.25">
      <c r="A319" t="s">
        <v>616</v>
      </c>
      <c r="B319" t="s">
        <v>617</v>
      </c>
      <c r="C319">
        <v>30</v>
      </c>
      <c r="D319">
        <v>1199.5</v>
      </c>
      <c r="E319">
        <v>2</v>
      </c>
    </row>
    <row r="320" spans="1:5" x14ac:dyDescent="0.25">
      <c r="A320" t="s">
        <v>618</v>
      </c>
      <c r="B320" t="s">
        <v>619</v>
      </c>
      <c r="C320">
        <v>30</v>
      </c>
      <c r="D320">
        <v>1199.5</v>
      </c>
      <c r="E320">
        <v>1</v>
      </c>
    </row>
    <row r="321" spans="1:5" x14ac:dyDescent="0.25">
      <c r="A321" t="s">
        <v>620</v>
      </c>
      <c r="B321" t="s">
        <v>621</v>
      </c>
      <c r="C321">
        <v>11</v>
      </c>
      <c r="D321">
        <v>3122.4</v>
      </c>
      <c r="E321">
        <v>0</v>
      </c>
    </row>
    <row r="322" spans="1:5" x14ac:dyDescent="0.25">
      <c r="A322" t="s">
        <v>622</v>
      </c>
      <c r="B322" t="s">
        <v>623</v>
      </c>
      <c r="C322">
        <v>5</v>
      </c>
      <c r="D322">
        <v>1419.3</v>
      </c>
      <c r="E322">
        <v>0</v>
      </c>
    </row>
    <row r="323" spans="1:5" x14ac:dyDescent="0.25">
      <c r="A323" t="s">
        <v>624</v>
      </c>
      <c r="B323" t="s">
        <v>625</v>
      </c>
      <c r="C323">
        <v>11</v>
      </c>
      <c r="D323">
        <v>3122.4</v>
      </c>
      <c r="E323">
        <v>0</v>
      </c>
    </row>
    <row r="324" spans="1:5" x14ac:dyDescent="0.25">
      <c r="A324" t="s">
        <v>626</v>
      </c>
      <c r="B324" t="s">
        <v>627</v>
      </c>
      <c r="C324">
        <v>11</v>
      </c>
      <c r="D324">
        <v>3122.4</v>
      </c>
      <c r="E324">
        <v>0</v>
      </c>
    </row>
    <row r="325" spans="1:5" x14ac:dyDescent="0.25">
      <c r="A325" t="s">
        <v>628</v>
      </c>
      <c r="B325" t="s">
        <v>629</v>
      </c>
      <c r="C325">
        <v>11</v>
      </c>
      <c r="D325">
        <v>3122.4</v>
      </c>
      <c r="E325">
        <v>10</v>
      </c>
    </row>
    <row r="326" spans="1:5" x14ac:dyDescent="0.25">
      <c r="A326" t="s">
        <v>630</v>
      </c>
      <c r="B326" t="s">
        <v>631</v>
      </c>
      <c r="C326">
        <v>4</v>
      </c>
      <c r="D326">
        <v>1135.4000000000001</v>
      </c>
      <c r="E326">
        <v>5</v>
      </c>
    </row>
    <row r="327" spans="1:5" x14ac:dyDescent="0.25">
      <c r="A327" t="s">
        <v>632</v>
      </c>
      <c r="B327" t="s">
        <v>633</v>
      </c>
      <c r="C327">
        <v>9</v>
      </c>
      <c r="D327">
        <v>2554.6999999999998</v>
      </c>
      <c r="E327">
        <v>0</v>
      </c>
    </row>
    <row r="328" spans="1:5" x14ac:dyDescent="0.25">
      <c r="A328" t="s">
        <v>634</v>
      </c>
      <c r="B328" t="s">
        <v>635</v>
      </c>
      <c r="C328">
        <v>9</v>
      </c>
      <c r="D328">
        <v>2554.6999999999998</v>
      </c>
      <c r="E328">
        <v>0</v>
      </c>
    </row>
    <row r="329" spans="1:5" x14ac:dyDescent="0.25">
      <c r="A329" t="s">
        <v>636</v>
      </c>
      <c r="B329" t="s">
        <v>637</v>
      </c>
      <c r="C329">
        <v>9</v>
      </c>
      <c r="D329">
        <v>2554.6999999999998</v>
      </c>
      <c r="E329">
        <v>1</v>
      </c>
    </row>
    <row r="330" spans="1:5" x14ac:dyDescent="0.25">
      <c r="A330" t="s">
        <v>638</v>
      </c>
      <c r="B330" t="s">
        <v>639</v>
      </c>
      <c r="C330">
        <v>9</v>
      </c>
      <c r="D330">
        <v>2554.6999999999998</v>
      </c>
      <c r="E330">
        <v>1</v>
      </c>
    </row>
    <row r="331" spans="1:5" x14ac:dyDescent="0.25">
      <c r="A331" t="s">
        <v>640</v>
      </c>
      <c r="B331" t="s">
        <v>641</v>
      </c>
      <c r="C331">
        <v>9</v>
      </c>
      <c r="D331">
        <v>2554.6999999999998</v>
      </c>
      <c r="E331">
        <v>9</v>
      </c>
    </row>
    <row r="332" spans="1:5" x14ac:dyDescent="0.25">
      <c r="A332" t="s">
        <v>642</v>
      </c>
      <c r="B332" t="s">
        <v>643</v>
      </c>
      <c r="C332">
        <v>9</v>
      </c>
      <c r="D332">
        <v>2554.6999999999998</v>
      </c>
      <c r="E332">
        <v>0</v>
      </c>
    </row>
    <row r="333" spans="1:5" x14ac:dyDescent="0.25">
      <c r="A333" t="s">
        <v>644</v>
      </c>
      <c r="B333" t="s">
        <v>645</v>
      </c>
      <c r="C333">
        <v>9</v>
      </c>
      <c r="D333">
        <v>2554.6999999999998</v>
      </c>
      <c r="E333">
        <v>0</v>
      </c>
    </row>
    <row r="334" spans="1:5" x14ac:dyDescent="0.25">
      <c r="A334" t="s">
        <v>646</v>
      </c>
      <c r="B334" t="s">
        <v>647</v>
      </c>
      <c r="C334">
        <v>15</v>
      </c>
      <c r="D334">
        <v>4257.8</v>
      </c>
      <c r="E334">
        <v>12</v>
      </c>
    </row>
    <row r="335" spans="1:5" x14ac:dyDescent="0.25">
      <c r="A335" t="s">
        <v>648</v>
      </c>
      <c r="B335" t="s">
        <v>649</v>
      </c>
      <c r="C335">
        <v>15</v>
      </c>
      <c r="D335">
        <v>4257.8</v>
      </c>
      <c r="E335">
        <v>12</v>
      </c>
    </row>
    <row r="336" spans="1:5" x14ac:dyDescent="0.25">
      <c r="A336" t="s">
        <v>650</v>
      </c>
      <c r="B336" t="s">
        <v>651</v>
      </c>
      <c r="C336">
        <v>9</v>
      </c>
      <c r="D336">
        <v>2554.6999999999998</v>
      </c>
      <c r="E336">
        <v>0</v>
      </c>
    </row>
    <row r="337" spans="1:5" x14ac:dyDescent="0.25">
      <c r="A337" t="s">
        <v>652</v>
      </c>
      <c r="B337" t="s">
        <v>653</v>
      </c>
      <c r="C337">
        <v>9</v>
      </c>
      <c r="D337">
        <v>2554.6999999999998</v>
      </c>
      <c r="E337">
        <v>11</v>
      </c>
    </row>
    <row r="338" spans="1:5" x14ac:dyDescent="0.25">
      <c r="A338" t="s">
        <v>654</v>
      </c>
      <c r="B338" t="s">
        <v>655</v>
      </c>
      <c r="C338">
        <v>9</v>
      </c>
      <c r="D338">
        <v>2554.6999999999998</v>
      </c>
      <c r="E338">
        <v>0</v>
      </c>
    </row>
    <row r="339" spans="1:5" x14ac:dyDescent="0.25">
      <c r="A339" t="s">
        <v>656</v>
      </c>
      <c r="B339" t="s">
        <v>657</v>
      </c>
      <c r="C339">
        <v>13</v>
      </c>
      <c r="D339">
        <v>3690.1</v>
      </c>
      <c r="E339">
        <v>12</v>
      </c>
    </row>
    <row r="340" spans="1:5" x14ac:dyDescent="0.25">
      <c r="A340" t="s">
        <v>658</v>
      </c>
      <c r="B340" t="s">
        <v>659</v>
      </c>
      <c r="C340">
        <v>13</v>
      </c>
      <c r="D340">
        <v>3690.1</v>
      </c>
      <c r="E340">
        <v>12</v>
      </c>
    </row>
    <row r="341" spans="1:5" x14ac:dyDescent="0.25">
      <c r="A341" t="s">
        <v>660</v>
      </c>
      <c r="B341" t="s">
        <v>661</v>
      </c>
      <c r="C341">
        <v>13</v>
      </c>
      <c r="D341">
        <v>3690.1</v>
      </c>
      <c r="E341">
        <v>12</v>
      </c>
    </row>
    <row r="342" spans="1:5" x14ac:dyDescent="0.25">
      <c r="A342" t="s">
        <v>662</v>
      </c>
      <c r="B342" t="s">
        <v>663</v>
      </c>
      <c r="C342">
        <v>13</v>
      </c>
      <c r="D342">
        <v>3690.1</v>
      </c>
      <c r="E342">
        <v>12</v>
      </c>
    </row>
    <row r="343" spans="1:5" x14ac:dyDescent="0.25">
      <c r="A343" t="s">
        <v>664</v>
      </c>
      <c r="B343" t="s">
        <v>665</v>
      </c>
      <c r="C343">
        <v>13</v>
      </c>
      <c r="D343">
        <v>3690.1</v>
      </c>
      <c r="E343">
        <v>12</v>
      </c>
    </row>
    <row r="344" spans="1:5" x14ac:dyDescent="0.25">
      <c r="A344" t="s">
        <v>666</v>
      </c>
      <c r="B344" t="s">
        <v>667</v>
      </c>
      <c r="C344">
        <v>13</v>
      </c>
      <c r="D344">
        <v>3690.1</v>
      </c>
      <c r="E344">
        <v>12</v>
      </c>
    </row>
    <row r="345" spans="1:5" x14ac:dyDescent="0.25">
      <c r="A345" t="s">
        <v>668</v>
      </c>
      <c r="B345" t="s">
        <v>669</v>
      </c>
      <c r="C345">
        <v>15</v>
      </c>
      <c r="D345">
        <v>4257.8</v>
      </c>
      <c r="E345">
        <v>0</v>
      </c>
    </row>
    <row r="346" spans="1:5" x14ac:dyDescent="0.25">
      <c r="A346" t="s">
        <v>670</v>
      </c>
      <c r="B346" t="s">
        <v>671</v>
      </c>
      <c r="C346">
        <v>15</v>
      </c>
      <c r="D346">
        <v>4257.8</v>
      </c>
      <c r="E346">
        <v>10</v>
      </c>
    </row>
    <row r="347" spans="1:5" x14ac:dyDescent="0.25">
      <c r="A347" t="s">
        <v>672</v>
      </c>
      <c r="B347" t="s">
        <v>673</v>
      </c>
      <c r="C347">
        <v>15</v>
      </c>
      <c r="D347">
        <v>4257.8</v>
      </c>
      <c r="E347">
        <v>10</v>
      </c>
    </row>
    <row r="348" spans="1:5" x14ac:dyDescent="0.25">
      <c r="A348" t="s">
        <v>674</v>
      </c>
      <c r="B348" t="s">
        <v>675</v>
      </c>
      <c r="C348">
        <v>15</v>
      </c>
      <c r="D348">
        <v>4257.8</v>
      </c>
      <c r="E348">
        <v>12</v>
      </c>
    </row>
    <row r="349" spans="1:5" x14ac:dyDescent="0.25">
      <c r="A349" t="s">
        <v>676</v>
      </c>
      <c r="B349" t="s">
        <v>677</v>
      </c>
      <c r="C349">
        <v>15</v>
      </c>
      <c r="D349">
        <v>4257.8</v>
      </c>
      <c r="E349">
        <v>12</v>
      </c>
    </row>
    <row r="350" spans="1:5" x14ac:dyDescent="0.25">
      <c r="A350" t="s">
        <v>678</v>
      </c>
      <c r="B350" t="s">
        <v>679</v>
      </c>
      <c r="C350">
        <v>12</v>
      </c>
      <c r="D350">
        <v>3406.3</v>
      </c>
      <c r="E350">
        <v>1</v>
      </c>
    </row>
    <row r="351" spans="1:5" x14ac:dyDescent="0.25">
      <c r="A351" t="s">
        <v>680</v>
      </c>
      <c r="B351" t="s">
        <v>681</v>
      </c>
      <c r="C351">
        <v>12</v>
      </c>
      <c r="D351">
        <v>3406.3</v>
      </c>
      <c r="E351">
        <v>1</v>
      </c>
    </row>
    <row r="352" spans="1:5" x14ac:dyDescent="0.25">
      <c r="A352" t="s">
        <v>682</v>
      </c>
      <c r="B352" t="s">
        <v>683</v>
      </c>
      <c r="C352">
        <v>15</v>
      </c>
      <c r="D352">
        <v>4257.8</v>
      </c>
      <c r="E352">
        <v>0</v>
      </c>
    </row>
    <row r="353" spans="1:5" x14ac:dyDescent="0.25">
      <c r="A353" t="s">
        <v>684</v>
      </c>
      <c r="B353" t="s">
        <v>685</v>
      </c>
      <c r="C353">
        <v>15</v>
      </c>
      <c r="D353">
        <v>4257.8</v>
      </c>
      <c r="E353">
        <v>12</v>
      </c>
    </row>
    <row r="354" spans="1:5" x14ac:dyDescent="0.25">
      <c r="A354" t="s">
        <v>686</v>
      </c>
      <c r="B354" t="s">
        <v>687</v>
      </c>
      <c r="C354">
        <v>15</v>
      </c>
      <c r="D354">
        <v>4257.8</v>
      </c>
      <c r="E354">
        <v>1</v>
      </c>
    </row>
    <row r="355" spans="1:5" x14ac:dyDescent="0.25">
      <c r="A355" t="s">
        <v>688</v>
      </c>
      <c r="B355" t="s">
        <v>689</v>
      </c>
      <c r="C355">
        <v>15</v>
      </c>
      <c r="D355">
        <v>4257.8</v>
      </c>
      <c r="E355">
        <v>1</v>
      </c>
    </row>
    <row r="356" spans="1:5" x14ac:dyDescent="0.25">
      <c r="A356" t="s">
        <v>690</v>
      </c>
      <c r="B356" t="s">
        <v>691</v>
      </c>
      <c r="C356">
        <v>5</v>
      </c>
      <c r="D356">
        <v>1419.3</v>
      </c>
      <c r="E356">
        <v>1</v>
      </c>
    </row>
    <row r="357" spans="1:5" x14ac:dyDescent="0.25">
      <c r="A357" t="s">
        <v>692</v>
      </c>
      <c r="B357" t="s">
        <v>693</v>
      </c>
      <c r="C357">
        <v>15</v>
      </c>
      <c r="D357">
        <v>4257.8</v>
      </c>
      <c r="E357">
        <v>0</v>
      </c>
    </row>
    <row r="358" spans="1:5" x14ac:dyDescent="0.25">
      <c r="A358" t="s">
        <v>694</v>
      </c>
      <c r="B358" t="s">
        <v>695</v>
      </c>
      <c r="C358">
        <v>15</v>
      </c>
      <c r="D358">
        <v>4257.8</v>
      </c>
      <c r="E358">
        <v>0</v>
      </c>
    </row>
    <row r="359" spans="1:5" x14ac:dyDescent="0.25">
      <c r="A359" t="s">
        <v>696</v>
      </c>
      <c r="B359" t="s">
        <v>697</v>
      </c>
      <c r="C359">
        <v>15</v>
      </c>
      <c r="D359">
        <v>4257.8</v>
      </c>
      <c r="E359">
        <v>1</v>
      </c>
    </row>
    <row r="360" spans="1:5" x14ac:dyDescent="0.25">
      <c r="A360" t="s">
        <v>698</v>
      </c>
      <c r="B360" t="s">
        <v>699</v>
      </c>
      <c r="C360">
        <v>5</v>
      </c>
      <c r="D360">
        <v>1419.3</v>
      </c>
      <c r="E360">
        <v>1</v>
      </c>
    </row>
    <row r="361" spans="1:5" x14ac:dyDescent="0.25">
      <c r="A361" t="s">
        <v>700</v>
      </c>
      <c r="B361" t="s">
        <v>701</v>
      </c>
      <c r="C361">
        <v>13</v>
      </c>
      <c r="D361">
        <v>3690.1</v>
      </c>
      <c r="E361">
        <v>0</v>
      </c>
    </row>
    <row r="362" spans="1:5" x14ac:dyDescent="0.25">
      <c r="A362" t="s">
        <v>702</v>
      </c>
      <c r="B362" t="s">
        <v>703</v>
      </c>
      <c r="C362">
        <v>15</v>
      </c>
      <c r="D362">
        <v>4257.8</v>
      </c>
      <c r="E362">
        <v>1</v>
      </c>
    </row>
    <row r="363" spans="1:5" x14ac:dyDescent="0.25">
      <c r="A363" t="s">
        <v>704</v>
      </c>
      <c r="B363" t="s">
        <v>705</v>
      </c>
      <c r="C363">
        <v>30</v>
      </c>
      <c r="D363">
        <v>1199.5</v>
      </c>
      <c r="E363">
        <v>0</v>
      </c>
    </row>
    <row r="364" spans="1:5" x14ac:dyDescent="0.25">
      <c r="A364" t="s">
        <v>706</v>
      </c>
      <c r="B364" t="s">
        <v>707</v>
      </c>
      <c r="C364">
        <v>15</v>
      </c>
      <c r="D364">
        <v>4257.8</v>
      </c>
      <c r="E364">
        <v>1</v>
      </c>
    </row>
    <row r="365" spans="1:5" x14ac:dyDescent="0.25">
      <c r="A365" t="s">
        <v>708</v>
      </c>
      <c r="B365" t="s">
        <v>709</v>
      </c>
      <c r="C365">
        <v>15</v>
      </c>
      <c r="D365">
        <v>4257.8</v>
      </c>
      <c r="E365">
        <v>12</v>
      </c>
    </row>
    <row r="366" spans="1:5" x14ac:dyDescent="0.25">
      <c r="A366" t="s">
        <v>710</v>
      </c>
      <c r="B366" t="s">
        <v>711</v>
      </c>
      <c r="C366">
        <v>15</v>
      </c>
      <c r="D366">
        <v>4257.8</v>
      </c>
      <c r="E366">
        <v>12</v>
      </c>
    </row>
    <row r="367" spans="1:5" x14ac:dyDescent="0.25">
      <c r="A367" t="s">
        <v>712</v>
      </c>
      <c r="B367" t="s">
        <v>713</v>
      </c>
      <c r="C367">
        <v>20</v>
      </c>
      <c r="D367">
        <v>5677.1</v>
      </c>
      <c r="E367">
        <v>0</v>
      </c>
    </row>
    <row r="368" spans="1:5" x14ac:dyDescent="0.25">
      <c r="A368" t="s">
        <v>714</v>
      </c>
      <c r="B368" t="s">
        <v>715</v>
      </c>
      <c r="C368">
        <v>15</v>
      </c>
      <c r="D368">
        <v>4257.8</v>
      </c>
      <c r="E368">
        <v>12</v>
      </c>
    </row>
    <row r="369" spans="1:5" x14ac:dyDescent="0.25">
      <c r="A369" t="s">
        <v>716</v>
      </c>
      <c r="B369" t="s">
        <v>717</v>
      </c>
      <c r="C369">
        <v>20</v>
      </c>
      <c r="D369">
        <v>5677.1</v>
      </c>
      <c r="E369">
        <v>0</v>
      </c>
    </row>
    <row r="370" spans="1:5" x14ac:dyDescent="0.25">
      <c r="A370" t="s">
        <v>718</v>
      </c>
      <c r="B370" t="s">
        <v>719</v>
      </c>
      <c r="C370">
        <v>15</v>
      </c>
      <c r="D370">
        <v>4257.8</v>
      </c>
      <c r="E370">
        <v>0</v>
      </c>
    </row>
    <row r="371" spans="1:5" x14ac:dyDescent="0.25">
      <c r="A371" t="s">
        <v>720</v>
      </c>
      <c r="B371" t="s">
        <v>721</v>
      </c>
      <c r="C371">
        <v>15</v>
      </c>
      <c r="D371">
        <v>4257.8</v>
      </c>
      <c r="E371">
        <v>0</v>
      </c>
    </row>
    <row r="372" spans="1:5" x14ac:dyDescent="0.25">
      <c r="A372" t="s">
        <v>722</v>
      </c>
      <c r="B372" t="s">
        <v>723</v>
      </c>
      <c r="C372">
        <v>15</v>
      </c>
      <c r="D372">
        <v>4257.8</v>
      </c>
      <c r="E372">
        <v>0</v>
      </c>
    </row>
    <row r="373" spans="1:5" x14ac:dyDescent="0.25">
      <c r="A373" t="s">
        <v>724</v>
      </c>
      <c r="B373" t="s">
        <v>725</v>
      </c>
      <c r="C373">
        <v>15</v>
      </c>
      <c r="D373">
        <v>4257.8</v>
      </c>
      <c r="E373">
        <v>0</v>
      </c>
    </row>
    <row r="374" spans="1:5" x14ac:dyDescent="0.25">
      <c r="A374" t="s">
        <v>726</v>
      </c>
      <c r="B374" t="s">
        <v>727</v>
      </c>
      <c r="C374">
        <v>15</v>
      </c>
      <c r="D374">
        <v>4257.8</v>
      </c>
      <c r="E374">
        <v>0</v>
      </c>
    </row>
    <row r="375" spans="1:5" x14ac:dyDescent="0.25">
      <c r="A375" t="s">
        <v>728</v>
      </c>
      <c r="B375" t="s">
        <v>729</v>
      </c>
      <c r="C375">
        <v>15</v>
      </c>
      <c r="D375">
        <v>4257.8</v>
      </c>
      <c r="E375">
        <v>12</v>
      </c>
    </row>
    <row r="376" spans="1:5" x14ac:dyDescent="0.25">
      <c r="A376" t="s">
        <v>730</v>
      </c>
      <c r="B376" t="s">
        <v>731</v>
      </c>
      <c r="C376">
        <v>15</v>
      </c>
      <c r="D376">
        <v>4257.8</v>
      </c>
      <c r="E376">
        <v>0</v>
      </c>
    </row>
    <row r="377" spans="1:5" x14ac:dyDescent="0.25">
      <c r="A377" t="s">
        <v>732</v>
      </c>
      <c r="B377" t="s">
        <v>733</v>
      </c>
      <c r="C377">
        <v>15</v>
      </c>
      <c r="D377">
        <v>4257.8</v>
      </c>
      <c r="E377">
        <v>0</v>
      </c>
    </row>
    <row r="378" spans="1:5" x14ac:dyDescent="0.25">
      <c r="A378" t="s">
        <v>734</v>
      </c>
      <c r="B378" t="s">
        <v>733</v>
      </c>
      <c r="C378">
        <v>15</v>
      </c>
      <c r="D378">
        <v>4257.8</v>
      </c>
      <c r="E378">
        <v>0</v>
      </c>
    </row>
    <row r="379" spans="1:5" x14ac:dyDescent="0.25">
      <c r="A379" t="s">
        <v>735</v>
      </c>
      <c r="B379" t="s">
        <v>733</v>
      </c>
      <c r="C379">
        <v>15</v>
      </c>
      <c r="D379">
        <v>4257.8</v>
      </c>
      <c r="E379">
        <v>0</v>
      </c>
    </row>
    <row r="380" spans="1:5" x14ac:dyDescent="0.25">
      <c r="A380" t="s">
        <v>736</v>
      </c>
      <c r="B380" t="s">
        <v>737</v>
      </c>
      <c r="C380">
        <v>15</v>
      </c>
      <c r="D380">
        <v>4257.8</v>
      </c>
      <c r="E380">
        <v>0</v>
      </c>
    </row>
    <row r="381" spans="1:5" x14ac:dyDescent="0.25">
      <c r="A381" t="s">
        <v>738</v>
      </c>
      <c r="B381" t="s">
        <v>739</v>
      </c>
      <c r="C381">
        <v>15</v>
      </c>
      <c r="D381">
        <v>4257.8</v>
      </c>
      <c r="E381">
        <v>0</v>
      </c>
    </row>
    <row r="382" spans="1:5" x14ac:dyDescent="0.25">
      <c r="A382" t="s">
        <v>740</v>
      </c>
      <c r="B382" t="s">
        <v>741</v>
      </c>
      <c r="C382">
        <v>15</v>
      </c>
      <c r="D382">
        <v>4257.8</v>
      </c>
      <c r="E382">
        <v>0</v>
      </c>
    </row>
    <row r="383" spans="1:5" x14ac:dyDescent="0.25">
      <c r="A383" t="s">
        <v>742</v>
      </c>
      <c r="B383" t="s">
        <v>743</v>
      </c>
      <c r="C383">
        <v>15</v>
      </c>
      <c r="D383">
        <v>4257.8</v>
      </c>
      <c r="E383">
        <v>0</v>
      </c>
    </row>
    <row r="384" spans="1:5" x14ac:dyDescent="0.25">
      <c r="A384" t="s">
        <v>744</v>
      </c>
      <c r="B384" t="s">
        <v>745</v>
      </c>
      <c r="C384">
        <v>15</v>
      </c>
      <c r="D384">
        <v>4257.8</v>
      </c>
      <c r="E384">
        <v>0</v>
      </c>
    </row>
    <row r="385" spans="1:5" x14ac:dyDescent="0.25">
      <c r="A385" t="s">
        <v>746</v>
      </c>
      <c r="B385" t="s">
        <v>747</v>
      </c>
      <c r="C385">
        <v>15</v>
      </c>
      <c r="D385">
        <v>4257.8</v>
      </c>
      <c r="E385">
        <v>12</v>
      </c>
    </row>
    <row r="386" spans="1:5" x14ac:dyDescent="0.25">
      <c r="A386" t="s">
        <v>748</v>
      </c>
      <c r="B386" t="s">
        <v>749</v>
      </c>
      <c r="C386">
        <v>15</v>
      </c>
      <c r="D386">
        <v>4257.8</v>
      </c>
      <c r="E386">
        <v>12</v>
      </c>
    </row>
    <row r="387" spans="1:5" x14ac:dyDescent="0.25">
      <c r="A387" t="s">
        <v>750</v>
      </c>
      <c r="B387" t="s">
        <v>751</v>
      </c>
      <c r="C387">
        <v>15</v>
      </c>
      <c r="D387">
        <v>4257.8</v>
      </c>
      <c r="E387">
        <v>12</v>
      </c>
    </row>
    <row r="388" spans="1:5" x14ac:dyDescent="0.25">
      <c r="A388" t="s">
        <v>752</v>
      </c>
      <c r="B388" t="s">
        <v>753</v>
      </c>
      <c r="C388">
        <v>15</v>
      </c>
      <c r="D388">
        <v>4257.8</v>
      </c>
      <c r="E388">
        <v>12</v>
      </c>
    </row>
    <row r="389" spans="1:5" x14ac:dyDescent="0.25">
      <c r="A389" t="s">
        <v>754</v>
      </c>
      <c r="B389" t="s">
        <v>755</v>
      </c>
      <c r="C389">
        <v>13</v>
      </c>
      <c r="D389">
        <v>3690.1</v>
      </c>
      <c r="E389">
        <v>12</v>
      </c>
    </row>
    <row r="390" spans="1:5" x14ac:dyDescent="0.25">
      <c r="A390" t="s">
        <v>756</v>
      </c>
      <c r="B390" t="s">
        <v>757</v>
      </c>
      <c r="C390">
        <v>5</v>
      </c>
      <c r="D390">
        <v>1419.3</v>
      </c>
      <c r="E390">
        <v>12</v>
      </c>
    </row>
    <row r="391" spans="1:5" x14ac:dyDescent="0.25">
      <c r="A391" t="s">
        <v>758</v>
      </c>
      <c r="B391" t="s">
        <v>759</v>
      </c>
      <c r="C391">
        <v>5</v>
      </c>
      <c r="D391">
        <v>1419.3</v>
      </c>
      <c r="E391">
        <v>12</v>
      </c>
    </row>
    <row r="392" spans="1:5" x14ac:dyDescent="0.25">
      <c r="A392" t="s">
        <v>760</v>
      </c>
      <c r="B392" t="s">
        <v>761</v>
      </c>
      <c r="C392">
        <v>5</v>
      </c>
      <c r="D392">
        <v>1419.3</v>
      </c>
      <c r="E392">
        <v>12</v>
      </c>
    </row>
    <row r="393" spans="1:5" x14ac:dyDescent="0.25">
      <c r="A393" t="s">
        <v>762</v>
      </c>
      <c r="B393" t="s">
        <v>763</v>
      </c>
      <c r="C393">
        <v>15</v>
      </c>
      <c r="D393">
        <v>4257.8</v>
      </c>
      <c r="E393">
        <v>12</v>
      </c>
    </row>
    <row r="394" spans="1:5" x14ac:dyDescent="0.25">
      <c r="A394" t="s">
        <v>764</v>
      </c>
      <c r="B394" t="s">
        <v>765</v>
      </c>
      <c r="C394">
        <v>5</v>
      </c>
      <c r="D394">
        <v>1419.3</v>
      </c>
      <c r="E394">
        <v>12</v>
      </c>
    </row>
    <row r="395" spans="1:5" x14ac:dyDescent="0.25">
      <c r="A395" t="s">
        <v>766</v>
      </c>
      <c r="B395" t="s">
        <v>767</v>
      </c>
      <c r="C395">
        <v>5</v>
      </c>
      <c r="D395">
        <v>1419.3</v>
      </c>
      <c r="E395">
        <v>12</v>
      </c>
    </row>
    <row r="396" spans="1:5" x14ac:dyDescent="0.25">
      <c r="A396" t="s">
        <v>768</v>
      </c>
      <c r="B396" t="s">
        <v>769</v>
      </c>
      <c r="C396">
        <v>15</v>
      </c>
      <c r="D396">
        <v>4257.8</v>
      </c>
      <c r="E396">
        <v>8</v>
      </c>
    </row>
    <row r="397" spans="1:5" x14ac:dyDescent="0.25">
      <c r="A397" t="s">
        <v>770</v>
      </c>
      <c r="B397" t="s">
        <v>771</v>
      </c>
      <c r="C397">
        <v>5</v>
      </c>
      <c r="D397">
        <v>1419.3</v>
      </c>
      <c r="E397">
        <v>8</v>
      </c>
    </row>
    <row r="398" spans="1:5" x14ac:dyDescent="0.25">
      <c r="A398" t="s">
        <v>772</v>
      </c>
      <c r="B398" t="s">
        <v>773</v>
      </c>
      <c r="C398">
        <v>5</v>
      </c>
      <c r="D398">
        <v>1419.3</v>
      </c>
      <c r="E398">
        <v>12</v>
      </c>
    </row>
    <row r="399" spans="1:5" x14ac:dyDescent="0.25">
      <c r="A399" t="s">
        <v>774</v>
      </c>
      <c r="B399" t="s">
        <v>775</v>
      </c>
      <c r="C399">
        <v>8</v>
      </c>
      <c r="D399">
        <v>2270.8000000000002</v>
      </c>
      <c r="E399">
        <v>12</v>
      </c>
    </row>
    <row r="400" spans="1:5" x14ac:dyDescent="0.25">
      <c r="A400" t="s">
        <v>776</v>
      </c>
      <c r="B400" t="s">
        <v>777</v>
      </c>
      <c r="C400">
        <v>8</v>
      </c>
      <c r="D400">
        <v>2270.8000000000002</v>
      </c>
      <c r="E400">
        <v>12</v>
      </c>
    </row>
    <row r="401" spans="1:5" x14ac:dyDescent="0.25">
      <c r="A401" t="s">
        <v>778</v>
      </c>
      <c r="B401" t="s">
        <v>779</v>
      </c>
      <c r="C401">
        <v>3</v>
      </c>
      <c r="D401">
        <v>851.6</v>
      </c>
      <c r="E401">
        <v>12</v>
      </c>
    </row>
    <row r="402" spans="1:5" x14ac:dyDescent="0.25">
      <c r="A402" t="s">
        <v>780</v>
      </c>
      <c r="B402" t="s">
        <v>781</v>
      </c>
      <c r="C402">
        <v>4</v>
      </c>
      <c r="D402">
        <v>1135.4000000000001</v>
      </c>
      <c r="E402">
        <v>11</v>
      </c>
    </row>
    <row r="403" spans="1:5" x14ac:dyDescent="0.25">
      <c r="A403" t="s">
        <v>782</v>
      </c>
      <c r="B403" t="s">
        <v>783</v>
      </c>
      <c r="C403">
        <v>3</v>
      </c>
      <c r="D403">
        <v>851.6</v>
      </c>
      <c r="E403">
        <v>12</v>
      </c>
    </row>
    <row r="404" spans="1:5" x14ac:dyDescent="0.25">
      <c r="A404" t="s">
        <v>784</v>
      </c>
      <c r="B404" t="s">
        <v>783</v>
      </c>
      <c r="C404">
        <v>3</v>
      </c>
      <c r="D404">
        <v>851.6</v>
      </c>
      <c r="E404">
        <v>12</v>
      </c>
    </row>
    <row r="405" spans="1:5" x14ac:dyDescent="0.25">
      <c r="A405" t="s">
        <v>785</v>
      </c>
      <c r="B405" t="s">
        <v>786</v>
      </c>
      <c r="C405">
        <v>3</v>
      </c>
      <c r="D405">
        <v>851.6</v>
      </c>
      <c r="E405">
        <v>12</v>
      </c>
    </row>
    <row r="406" spans="1:5" x14ac:dyDescent="0.25">
      <c r="A406" t="s">
        <v>787</v>
      </c>
      <c r="B406" t="s">
        <v>788</v>
      </c>
      <c r="C406">
        <v>3</v>
      </c>
      <c r="D406">
        <v>851.6</v>
      </c>
      <c r="E406">
        <v>12</v>
      </c>
    </row>
    <row r="407" spans="1:5" x14ac:dyDescent="0.25">
      <c r="A407" t="s">
        <v>789</v>
      </c>
      <c r="B407" t="s">
        <v>790</v>
      </c>
      <c r="C407">
        <v>6</v>
      </c>
      <c r="D407">
        <v>1703.1</v>
      </c>
      <c r="E407">
        <v>12</v>
      </c>
    </row>
    <row r="408" spans="1:5" x14ac:dyDescent="0.25">
      <c r="A408" t="s">
        <v>791</v>
      </c>
      <c r="B408" t="s">
        <v>792</v>
      </c>
      <c r="C408">
        <v>11</v>
      </c>
      <c r="D408">
        <v>3122.4</v>
      </c>
      <c r="E408">
        <v>5</v>
      </c>
    </row>
    <row r="409" spans="1:5" x14ac:dyDescent="0.25">
      <c r="A409" t="s">
        <v>793</v>
      </c>
      <c r="B409" t="s">
        <v>794</v>
      </c>
      <c r="C409">
        <v>9</v>
      </c>
      <c r="D409">
        <v>2554.6999999999998</v>
      </c>
      <c r="E409">
        <v>2</v>
      </c>
    </row>
    <row r="410" spans="1:5" x14ac:dyDescent="0.25">
      <c r="A410" t="s">
        <v>795</v>
      </c>
      <c r="B410" t="s">
        <v>796</v>
      </c>
      <c r="C410">
        <v>6</v>
      </c>
      <c r="D410">
        <v>1703.1</v>
      </c>
      <c r="E410">
        <v>0</v>
      </c>
    </row>
    <row r="411" spans="1:5" x14ac:dyDescent="0.25">
      <c r="A411" t="s">
        <v>797</v>
      </c>
      <c r="B411" t="s">
        <v>798</v>
      </c>
      <c r="C411">
        <v>7</v>
      </c>
      <c r="D411">
        <v>1987</v>
      </c>
      <c r="E411">
        <v>2</v>
      </c>
    </row>
    <row r="412" spans="1:5" x14ac:dyDescent="0.25">
      <c r="A412" t="s">
        <v>799</v>
      </c>
      <c r="B412" t="s">
        <v>800</v>
      </c>
      <c r="C412">
        <v>4</v>
      </c>
      <c r="D412">
        <v>1135.4000000000001</v>
      </c>
      <c r="E412">
        <v>4</v>
      </c>
    </row>
    <row r="413" spans="1:5" x14ac:dyDescent="0.25">
      <c r="A413" t="s">
        <v>801</v>
      </c>
      <c r="B413" t="s">
        <v>802</v>
      </c>
      <c r="C413">
        <v>4</v>
      </c>
      <c r="D413">
        <v>1135.4000000000001</v>
      </c>
      <c r="E413">
        <v>3</v>
      </c>
    </row>
    <row r="414" spans="1:5" x14ac:dyDescent="0.25">
      <c r="A414" t="s">
        <v>803</v>
      </c>
      <c r="B414" t="s">
        <v>804</v>
      </c>
      <c r="C414">
        <v>4</v>
      </c>
      <c r="D414">
        <v>1135.4000000000001</v>
      </c>
      <c r="E414">
        <v>3</v>
      </c>
    </row>
    <row r="415" spans="1:5" x14ac:dyDescent="0.25">
      <c r="A415" t="s">
        <v>805</v>
      </c>
      <c r="B415" t="s">
        <v>806</v>
      </c>
      <c r="C415">
        <v>4</v>
      </c>
      <c r="D415">
        <v>1135.4000000000001</v>
      </c>
      <c r="E415">
        <v>3</v>
      </c>
    </row>
    <row r="416" spans="1:5" x14ac:dyDescent="0.25">
      <c r="A416" t="s">
        <v>807</v>
      </c>
      <c r="B416" t="s">
        <v>808</v>
      </c>
      <c r="C416">
        <v>7</v>
      </c>
      <c r="D416">
        <v>1987</v>
      </c>
      <c r="E416">
        <v>3</v>
      </c>
    </row>
    <row r="417" spans="1:5" x14ac:dyDescent="0.25">
      <c r="A417" t="s">
        <v>809</v>
      </c>
      <c r="B417" t="s">
        <v>810</v>
      </c>
      <c r="C417">
        <v>6</v>
      </c>
      <c r="D417">
        <v>1703.1</v>
      </c>
      <c r="E417">
        <v>1</v>
      </c>
    </row>
    <row r="418" spans="1:5" x14ac:dyDescent="0.25">
      <c r="A418" t="s">
        <v>811</v>
      </c>
      <c r="B418" t="s">
        <v>812</v>
      </c>
      <c r="C418">
        <v>6</v>
      </c>
      <c r="D418">
        <v>1703.1</v>
      </c>
      <c r="E418">
        <v>3</v>
      </c>
    </row>
    <row r="419" spans="1:5" x14ac:dyDescent="0.25">
      <c r="A419" t="s">
        <v>813</v>
      </c>
      <c r="B419" t="s">
        <v>814</v>
      </c>
      <c r="C419">
        <v>6</v>
      </c>
      <c r="D419">
        <v>1703.1</v>
      </c>
      <c r="E419">
        <v>1</v>
      </c>
    </row>
    <row r="420" spans="1:5" x14ac:dyDescent="0.25">
      <c r="A420" t="s">
        <v>815</v>
      </c>
      <c r="B420" t="s">
        <v>816</v>
      </c>
      <c r="C420">
        <v>6</v>
      </c>
      <c r="D420">
        <v>1703.1</v>
      </c>
      <c r="E420">
        <v>1</v>
      </c>
    </row>
    <row r="421" spans="1:5" x14ac:dyDescent="0.25">
      <c r="A421" t="s">
        <v>817</v>
      </c>
      <c r="B421" t="s">
        <v>818</v>
      </c>
      <c r="C421">
        <v>6</v>
      </c>
      <c r="D421">
        <v>1703.1</v>
      </c>
      <c r="E421">
        <v>1</v>
      </c>
    </row>
    <row r="422" spans="1:5" x14ac:dyDescent="0.25">
      <c r="A422" t="s">
        <v>819</v>
      </c>
      <c r="B422" t="s">
        <v>820</v>
      </c>
      <c r="C422">
        <v>5</v>
      </c>
      <c r="D422">
        <v>1419.3</v>
      </c>
      <c r="E422">
        <v>1</v>
      </c>
    </row>
    <row r="423" spans="1:5" x14ac:dyDescent="0.25">
      <c r="A423" t="s">
        <v>821</v>
      </c>
      <c r="B423" t="s">
        <v>822</v>
      </c>
      <c r="C423">
        <v>5</v>
      </c>
      <c r="D423">
        <v>1419.3</v>
      </c>
      <c r="E423">
        <v>1</v>
      </c>
    </row>
    <row r="424" spans="1:5" x14ac:dyDescent="0.25">
      <c r="A424" t="s">
        <v>823</v>
      </c>
      <c r="B424" t="s">
        <v>824</v>
      </c>
      <c r="C424">
        <v>4</v>
      </c>
      <c r="D424">
        <v>1135.4000000000001</v>
      </c>
      <c r="E424">
        <v>4</v>
      </c>
    </row>
    <row r="425" spans="1:5" x14ac:dyDescent="0.25">
      <c r="A425" t="s">
        <v>825</v>
      </c>
      <c r="B425" t="s">
        <v>826</v>
      </c>
      <c r="C425">
        <v>5</v>
      </c>
      <c r="D425">
        <v>1419.3</v>
      </c>
      <c r="E425">
        <v>4</v>
      </c>
    </row>
    <row r="426" spans="1:5" x14ac:dyDescent="0.25">
      <c r="A426" t="s">
        <v>827</v>
      </c>
      <c r="B426" t="s">
        <v>828</v>
      </c>
      <c r="C426">
        <v>4</v>
      </c>
      <c r="D426">
        <v>1135.4000000000001</v>
      </c>
      <c r="E426">
        <v>10</v>
      </c>
    </row>
    <row r="427" spans="1:5" x14ac:dyDescent="0.25">
      <c r="A427" t="s">
        <v>829</v>
      </c>
      <c r="B427" t="s">
        <v>830</v>
      </c>
      <c r="C427">
        <v>5</v>
      </c>
      <c r="D427">
        <v>1419.3</v>
      </c>
      <c r="E427">
        <v>1</v>
      </c>
    </row>
    <row r="428" spans="1:5" x14ac:dyDescent="0.25">
      <c r="A428" t="s">
        <v>831</v>
      </c>
      <c r="B428" t="s">
        <v>832</v>
      </c>
      <c r="C428">
        <v>5</v>
      </c>
      <c r="D428">
        <v>1419.3</v>
      </c>
      <c r="E428">
        <v>4</v>
      </c>
    </row>
    <row r="429" spans="1:5" x14ac:dyDescent="0.25">
      <c r="A429" t="s">
        <v>833</v>
      </c>
      <c r="B429" t="s">
        <v>834</v>
      </c>
      <c r="C429">
        <v>5</v>
      </c>
      <c r="D429">
        <v>1419.3</v>
      </c>
      <c r="E429">
        <v>4</v>
      </c>
    </row>
    <row r="430" spans="1:5" x14ac:dyDescent="0.25">
      <c r="A430" t="s">
        <v>835</v>
      </c>
      <c r="B430" t="s">
        <v>836</v>
      </c>
      <c r="C430">
        <v>5</v>
      </c>
      <c r="D430">
        <v>1419.3</v>
      </c>
      <c r="E430">
        <v>4</v>
      </c>
    </row>
    <row r="431" spans="1:5" x14ac:dyDescent="0.25">
      <c r="A431" t="s">
        <v>837</v>
      </c>
      <c r="B431" t="s">
        <v>838</v>
      </c>
      <c r="C431">
        <v>5</v>
      </c>
      <c r="D431">
        <v>1419.3</v>
      </c>
      <c r="E431">
        <v>4</v>
      </c>
    </row>
    <row r="432" spans="1:5" x14ac:dyDescent="0.25">
      <c r="A432" t="s">
        <v>839</v>
      </c>
      <c r="B432" t="s">
        <v>840</v>
      </c>
      <c r="C432">
        <v>5</v>
      </c>
      <c r="D432">
        <v>1419.3</v>
      </c>
      <c r="E432">
        <v>4</v>
      </c>
    </row>
    <row r="433" spans="1:5" x14ac:dyDescent="0.25">
      <c r="A433" t="s">
        <v>841</v>
      </c>
      <c r="B433" t="s">
        <v>842</v>
      </c>
      <c r="C433">
        <v>5</v>
      </c>
      <c r="D433">
        <v>1419.3</v>
      </c>
      <c r="E433">
        <v>4</v>
      </c>
    </row>
    <row r="434" spans="1:5" x14ac:dyDescent="0.25">
      <c r="A434" t="s">
        <v>843</v>
      </c>
      <c r="B434" t="s">
        <v>844</v>
      </c>
      <c r="C434">
        <v>6</v>
      </c>
      <c r="D434">
        <v>1703.1</v>
      </c>
      <c r="E434">
        <v>3</v>
      </c>
    </row>
    <row r="435" spans="1:5" x14ac:dyDescent="0.25">
      <c r="A435" t="s">
        <v>845</v>
      </c>
      <c r="B435" t="s">
        <v>846</v>
      </c>
      <c r="C435">
        <v>4</v>
      </c>
      <c r="D435">
        <v>1135.4000000000001</v>
      </c>
      <c r="E435">
        <v>3</v>
      </c>
    </row>
    <row r="436" spans="1:5" x14ac:dyDescent="0.25">
      <c r="A436" t="s">
        <v>847</v>
      </c>
      <c r="B436" t="s">
        <v>848</v>
      </c>
      <c r="C436">
        <v>5</v>
      </c>
      <c r="D436">
        <v>1419.3</v>
      </c>
      <c r="E436">
        <v>3</v>
      </c>
    </row>
    <row r="437" spans="1:5" x14ac:dyDescent="0.25">
      <c r="A437" t="s">
        <v>849</v>
      </c>
      <c r="B437" t="s">
        <v>850</v>
      </c>
      <c r="C437">
        <v>7</v>
      </c>
      <c r="D437">
        <v>1987</v>
      </c>
      <c r="E437">
        <v>3</v>
      </c>
    </row>
    <row r="438" spans="1:5" x14ac:dyDescent="0.25">
      <c r="A438" t="s">
        <v>851</v>
      </c>
      <c r="B438" t="s">
        <v>852</v>
      </c>
      <c r="C438">
        <v>4</v>
      </c>
      <c r="D438">
        <v>1135.4000000000001</v>
      </c>
      <c r="E438">
        <v>3</v>
      </c>
    </row>
    <row r="439" spans="1:5" x14ac:dyDescent="0.25">
      <c r="A439" t="s">
        <v>853</v>
      </c>
      <c r="B439" t="s">
        <v>854</v>
      </c>
      <c r="C439">
        <v>4</v>
      </c>
      <c r="D439">
        <v>1135.4000000000001</v>
      </c>
      <c r="E439">
        <v>3</v>
      </c>
    </row>
    <row r="440" spans="1:5" x14ac:dyDescent="0.25">
      <c r="A440" t="s">
        <v>855</v>
      </c>
      <c r="B440" t="s">
        <v>856</v>
      </c>
      <c r="C440">
        <v>5</v>
      </c>
      <c r="D440">
        <v>1419.3</v>
      </c>
      <c r="E440">
        <v>3</v>
      </c>
    </row>
    <row r="441" spans="1:5" x14ac:dyDescent="0.25">
      <c r="A441" t="s">
        <v>857</v>
      </c>
      <c r="B441" t="s">
        <v>858</v>
      </c>
      <c r="C441">
        <v>6</v>
      </c>
      <c r="D441">
        <v>1703.1</v>
      </c>
      <c r="E441">
        <v>3</v>
      </c>
    </row>
    <row r="442" spans="1:5" x14ac:dyDescent="0.25">
      <c r="A442" t="s">
        <v>859</v>
      </c>
      <c r="B442" t="s">
        <v>860</v>
      </c>
      <c r="C442">
        <v>5</v>
      </c>
      <c r="D442">
        <v>1419.3</v>
      </c>
      <c r="E442">
        <v>3</v>
      </c>
    </row>
    <row r="443" spans="1:5" x14ac:dyDescent="0.25">
      <c r="A443" t="s">
        <v>861</v>
      </c>
      <c r="B443" t="s">
        <v>862</v>
      </c>
      <c r="C443">
        <v>5</v>
      </c>
      <c r="D443">
        <v>1419.3</v>
      </c>
      <c r="E443">
        <v>3</v>
      </c>
    </row>
    <row r="444" spans="1:5" x14ac:dyDescent="0.25">
      <c r="A444" t="s">
        <v>863</v>
      </c>
      <c r="B444" t="s">
        <v>864</v>
      </c>
      <c r="C444">
        <v>5</v>
      </c>
      <c r="D444">
        <v>1419.3</v>
      </c>
      <c r="E444">
        <v>3</v>
      </c>
    </row>
    <row r="445" spans="1:5" x14ac:dyDescent="0.25">
      <c r="A445" t="s">
        <v>865</v>
      </c>
      <c r="B445" t="s">
        <v>866</v>
      </c>
      <c r="C445">
        <v>5</v>
      </c>
      <c r="D445">
        <v>1419.3</v>
      </c>
      <c r="E445">
        <v>3</v>
      </c>
    </row>
    <row r="446" spans="1:5" x14ac:dyDescent="0.25">
      <c r="A446" t="s">
        <v>867</v>
      </c>
      <c r="B446" t="s">
        <v>868</v>
      </c>
      <c r="C446">
        <v>5</v>
      </c>
      <c r="D446">
        <v>1419.3</v>
      </c>
      <c r="E446">
        <v>3</v>
      </c>
    </row>
    <row r="447" spans="1:5" x14ac:dyDescent="0.25">
      <c r="A447" t="s">
        <v>869</v>
      </c>
      <c r="B447" t="s">
        <v>870</v>
      </c>
      <c r="C447">
        <v>4</v>
      </c>
      <c r="D447">
        <v>1135.4000000000001</v>
      </c>
      <c r="E447">
        <v>3</v>
      </c>
    </row>
    <row r="448" spans="1:5" x14ac:dyDescent="0.25">
      <c r="A448" t="s">
        <v>871</v>
      </c>
      <c r="B448" t="s">
        <v>872</v>
      </c>
      <c r="C448">
        <v>4</v>
      </c>
      <c r="D448">
        <v>1135.4000000000001</v>
      </c>
      <c r="E448">
        <v>3</v>
      </c>
    </row>
    <row r="449" spans="1:5" x14ac:dyDescent="0.25">
      <c r="A449" t="s">
        <v>873</v>
      </c>
      <c r="B449" t="s">
        <v>874</v>
      </c>
      <c r="C449">
        <v>4</v>
      </c>
      <c r="D449">
        <v>1135.4000000000001</v>
      </c>
      <c r="E449">
        <v>3</v>
      </c>
    </row>
    <row r="450" spans="1:5" x14ac:dyDescent="0.25">
      <c r="A450" t="s">
        <v>875</v>
      </c>
      <c r="B450" t="s">
        <v>876</v>
      </c>
      <c r="C450">
        <v>4</v>
      </c>
      <c r="D450">
        <v>1135.4000000000001</v>
      </c>
      <c r="E450">
        <v>3</v>
      </c>
    </row>
    <row r="451" spans="1:5" x14ac:dyDescent="0.25">
      <c r="A451" t="s">
        <v>877</v>
      </c>
      <c r="B451" t="s">
        <v>878</v>
      </c>
      <c r="C451">
        <v>4</v>
      </c>
      <c r="D451">
        <v>1135.4000000000001</v>
      </c>
      <c r="E451">
        <v>3</v>
      </c>
    </row>
    <row r="452" spans="1:5" x14ac:dyDescent="0.25">
      <c r="A452" t="s">
        <v>879</v>
      </c>
      <c r="B452" t="s">
        <v>880</v>
      </c>
      <c r="C452">
        <v>5</v>
      </c>
      <c r="D452">
        <v>1419.3</v>
      </c>
      <c r="E452">
        <v>3</v>
      </c>
    </row>
    <row r="453" spans="1:5" x14ac:dyDescent="0.25">
      <c r="A453" t="s">
        <v>881</v>
      </c>
      <c r="B453" t="s">
        <v>882</v>
      </c>
      <c r="C453">
        <v>5</v>
      </c>
      <c r="D453">
        <v>1419.3</v>
      </c>
      <c r="E453">
        <v>3</v>
      </c>
    </row>
    <row r="454" spans="1:5" x14ac:dyDescent="0.25">
      <c r="A454" t="s">
        <v>883</v>
      </c>
      <c r="B454" t="s">
        <v>884</v>
      </c>
      <c r="C454">
        <v>4</v>
      </c>
      <c r="D454">
        <v>1135.4000000000001</v>
      </c>
      <c r="E454">
        <v>3</v>
      </c>
    </row>
    <row r="455" spans="1:5" x14ac:dyDescent="0.25">
      <c r="A455" t="s">
        <v>885</v>
      </c>
      <c r="B455" t="s">
        <v>886</v>
      </c>
      <c r="C455">
        <v>4</v>
      </c>
      <c r="D455">
        <v>1135.4000000000001</v>
      </c>
      <c r="E455">
        <v>3</v>
      </c>
    </row>
    <row r="456" spans="1:5" x14ac:dyDescent="0.25">
      <c r="A456" t="s">
        <v>887</v>
      </c>
      <c r="B456" t="s">
        <v>888</v>
      </c>
      <c r="C456">
        <v>4</v>
      </c>
      <c r="D456">
        <v>1135.4000000000001</v>
      </c>
      <c r="E456">
        <v>3</v>
      </c>
    </row>
    <row r="457" spans="1:5" x14ac:dyDescent="0.25">
      <c r="A457" t="s">
        <v>889</v>
      </c>
      <c r="B457" t="s">
        <v>890</v>
      </c>
      <c r="C457">
        <v>4</v>
      </c>
      <c r="D457">
        <v>1135.4000000000001</v>
      </c>
      <c r="E457">
        <v>3</v>
      </c>
    </row>
    <row r="458" spans="1:5" x14ac:dyDescent="0.25">
      <c r="A458" t="s">
        <v>891</v>
      </c>
      <c r="B458" t="s">
        <v>892</v>
      </c>
      <c r="C458">
        <v>4</v>
      </c>
      <c r="D458">
        <v>1135.4000000000001</v>
      </c>
      <c r="E458">
        <v>2</v>
      </c>
    </row>
    <row r="459" spans="1:5" x14ac:dyDescent="0.25">
      <c r="A459" t="s">
        <v>893</v>
      </c>
      <c r="B459" t="s">
        <v>894</v>
      </c>
      <c r="C459">
        <v>4</v>
      </c>
      <c r="D459">
        <v>1135.4000000000001</v>
      </c>
      <c r="E459">
        <v>2</v>
      </c>
    </row>
    <row r="460" spans="1:5" x14ac:dyDescent="0.25">
      <c r="A460" t="s">
        <v>895</v>
      </c>
      <c r="B460" t="s">
        <v>896</v>
      </c>
      <c r="C460">
        <v>4</v>
      </c>
      <c r="D460">
        <v>1135.4000000000001</v>
      </c>
      <c r="E460">
        <v>2</v>
      </c>
    </row>
    <row r="461" spans="1:5" x14ac:dyDescent="0.25">
      <c r="A461" t="s">
        <v>897</v>
      </c>
      <c r="B461" t="s">
        <v>898</v>
      </c>
      <c r="C461">
        <v>15</v>
      </c>
      <c r="D461">
        <v>4257.8</v>
      </c>
      <c r="E461">
        <v>3</v>
      </c>
    </row>
    <row r="462" spans="1:5" x14ac:dyDescent="0.25">
      <c r="A462" t="s">
        <v>899</v>
      </c>
      <c r="B462" t="s">
        <v>900</v>
      </c>
      <c r="C462">
        <v>4</v>
      </c>
      <c r="D462">
        <v>1135.4000000000001</v>
      </c>
      <c r="E462">
        <v>2</v>
      </c>
    </row>
    <row r="463" spans="1:5" x14ac:dyDescent="0.25">
      <c r="A463" t="s">
        <v>901</v>
      </c>
      <c r="B463" t="s">
        <v>902</v>
      </c>
      <c r="C463">
        <v>11</v>
      </c>
      <c r="D463">
        <v>3122.4</v>
      </c>
      <c r="E463">
        <v>2</v>
      </c>
    </row>
    <row r="464" spans="1:5" x14ac:dyDescent="0.25">
      <c r="A464" t="s">
        <v>903</v>
      </c>
      <c r="B464" t="s">
        <v>904</v>
      </c>
      <c r="C464">
        <v>11</v>
      </c>
      <c r="D464">
        <v>3122.4</v>
      </c>
      <c r="E464">
        <v>2</v>
      </c>
    </row>
    <row r="465" spans="1:5" x14ac:dyDescent="0.25">
      <c r="A465" t="s">
        <v>905</v>
      </c>
      <c r="B465" t="s">
        <v>906</v>
      </c>
      <c r="C465">
        <v>11</v>
      </c>
      <c r="D465">
        <v>3122.4</v>
      </c>
      <c r="E465">
        <v>2</v>
      </c>
    </row>
    <row r="466" spans="1:5" x14ac:dyDescent="0.25">
      <c r="A466" t="s">
        <v>907</v>
      </c>
      <c r="B466" t="s">
        <v>908</v>
      </c>
      <c r="C466">
        <v>11</v>
      </c>
      <c r="D466">
        <v>3122.4</v>
      </c>
      <c r="E466">
        <v>0</v>
      </c>
    </row>
    <row r="467" spans="1:5" x14ac:dyDescent="0.25">
      <c r="A467" t="s">
        <v>909</v>
      </c>
      <c r="B467" t="s">
        <v>910</v>
      </c>
      <c r="C467">
        <v>11</v>
      </c>
      <c r="D467">
        <v>3122.4</v>
      </c>
      <c r="E467">
        <v>0</v>
      </c>
    </row>
    <row r="468" spans="1:5" x14ac:dyDescent="0.25">
      <c r="A468" t="s">
        <v>911</v>
      </c>
      <c r="B468" t="s">
        <v>912</v>
      </c>
      <c r="C468">
        <v>14</v>
      </c>
      <c r="D468">
        <v>3974</v>
      </c>
      <c r="E468">
        <v>2</v>
      </c>
    </row>
    <row r="469" spans="1:5" x14ac:dyDescent="0.25">
      <c r="A469" t="s">
        <v>913</v>
      </c>
      <c r="B469" t="s">
        <v>914</v>
      </c>
      <c r="C469">
        <v>11</v>
      </c>
      <c r="D469">
        <v>3122.4</v>
      </c>
      <c r="E469">
        <v>0</v>
      </c>
    </row>
    <row r="470" spans="1:5" x14ac:dyDescent="0.25">
      <c r="A470" t="s">
        <v>915</v>
      </c>
      <c r="B470" t="s">
        <v>916</v>
      </c>
      <c r="C470">
        <v>6</v>
      </c>
      <c r="D470">
        <v>1703.1</v>
      </c>
      <c r="E470">
        <v>2</v>
      </c>
    </row>
    <row r="471" spans="1:5" x14ac:dyDescent="0.25">
      <c r="A471" t="s">
        <v>917</v>
      </c>
      <c r="B471" t="s">
        <v>918</v>
      </c>
      <c r="C471">
        <v>4</v>
      </c>
      <c r="D471">
        <v>1135.4000000000001</v>
      </c>
      <c r="E471">
        <v>2</v>
      </c>
    </row>
    <row r="472" spans="1:5" x14ac:dyDescent="0.25">
      <c r="A472" t="s">
        <v>919</v>
      </c>
      <c r="B472" t="s">
        <v>920</v>
      </c>
      <c r="C472">
        <v>11</v>
      </c>
      <c r="D472">
        <v>3122.4</v>
      </c>
      <c r="E472">
        <v>2</v>
      </c>
    </row>
    <row r="473" spans="1:5" x14ac:dyDescent="0.25">
      <c r="A473" t="s">
        <v>921</v>
      </c>
      <c r="B473" t="s">
        <v>922</v>
      </c>
      <c r="C473">
        <v>4</v>
      </c>
      <c r="D473">
        <v>1135.4000000000001</v>
      </c>
      <c r="E473">
        <v>2</v>
      </c>
    </row>
    <row r="474" spans="1:5" x14ac:dyDescent="0.25">
      <c r="A474" t="s">
        <v>923</v>
      </c>
      <c r="B474" t="s">
        <v>924</v>
      </c>
      <c r="C474">
        <v>11</v>
      </c>
      <c r="D474">
        <v>3122.4</v>
      </c>
      <c r="E474">
        <v>2</v>
      </c>
    </row>
    <row r="475" spans="1:5" x14ac:dyDescent="0.25">
      <c r="A475" t="s">
        <v>925</v>
      </c>
      <c r="B475" t="s">
        <v>926</v>
      </c>
      <c r="C475">
        <v>4</v>
      </c>
      <c r="D475">
        <v>1135.4000000000001</v>
      </c>
      <c r="E475">
        <v>2</v>
      </c>
    </row>
    <row r="476" spans="1:5" x14ac:dyDescent="0.25">
      <c r="A476" t="s">
        <v>927</v>
      </c>
      <c r="B476" t="s">
        <v>928</v>
      </c>
      <c r="C476">
        <v>11</v>
      </c>
      <c r="D476">
        <v>3122.4</v>
      </c>
      <c r="E476">
        <v>2</v>
      </c>
    </row>
    <row r="477" spans="1:5" x14ac:dyDescent="0.25">
      <c r="A477" t="s">
        <v>929</v>
      </c>
      <c r="B477" t="s">
        <v>930</v>
      </c>
      <c r="C477">
        <v>4</v>
      </c>
      <c r="D477">
        <v>1135.4000000000001</v>
      </c>
      <c r="E477">
        <v>2</v>
      </c>
    </row>
    <row r="478" spans="1:5" x14ac:dyDescent="0.25">
      <c r="A478" t="s">
        <v>931</v>
      </c>
      <c r="B478" t="s">
        <v>932</v>
      </c>
      <c r="C478">
        <v>4</v>
      </c>
      <c r="D478">
        <v>1135.4000000000001</v>
      </c>
      <c r="E478">
        <v>1</v>
      </c>
    </row>
    <row r="479" spans="1:5" x14ac:dyDescent="0.25">
      <c r="A479" t="s">
        <v>933</v>
      </c>
      <c r="B479" t="s">
        <v>934</v>
      </c>
      <c r="C479">
        <v>6</v>
      </c>
      <c r="D479">
        <v>1703.1</v>
      </c>
      <c r="E479">
        <v>2</v>
      </c>
    </row>
    <row r="480" spans="1:5" x14ac:dyDescent="0.25">
      <c r="A480" t="s">
        <v>935</v>
      </c>
      <c r="B480" t="s">
        <v>936</v>
      </c>
      <c r="C480">
        <v>4</v>
      </c>
      <c r="D480">
        <v>1135.4000000000001</v>
      </c>
      <c r="E480">
        <v>2</v>
      </c>
    </row>
    <row r="481" spans="1:5" x14ac:dyDescent="0.25">
      <c r="A481" t="s">
        <v>937</v>
      </c>
      <c r="B481" t="s">
        <v>938</v>
      </c>
      <c r="C481">
        <v>7</v>
      </c>
      <c r="D481">
        <v>1987</v>
      </c>
      <c r="E481">
        <v>2</v>
      </c>
    </row>
    <row r="482" spans="1:5" x14ac:dyDescent="0.25">
      <c r="A482" t="s">
        <v>939</v>
      </c>
      <c r="B482" t="s">
        <v>940</v>
      </c>
      <c r="C482">
        <v>7</v>
      </c>
      <c r="D482">
        <v>1987</v>
      </c>
      <c r="E482">
        <v>2</v>
      </c>
    </row>
    <row r="483" spans="1:5" x14ac:dyDescent="0.25">
      <c r="A483" t="s">
        <v>941</v>
      </c>
      <c r="B483" t="s">
        <v>942</v>
      </c>
      <c r="C483">
        <v>7</v>
      </c>
      <c r="D483">
        <v>1987</v>
      </c>
      <c r="E483">
        <v>2</v>
      </c>
    </row>
    <row r="484" spans="1:5" x14ac:dyDescent="0.25">
      <c r="A484" t="s">
        <v>943</v>
      </c>
      <c r="B484" t="s">
        <v>944</v>
      </c>
      <c r="C484">
        <v>7</v>
      </c>
      <c r="D484">
        <v>1987</v>
      </c>
      <c r="E484">
        <v>2</v>
      </c>
    </row>
    <row r="485" spans="1:5" x14ac:dyDescent="0.25">
      <c r="A485" t="s">
        <v>945</v>
      </c>
      <c r="B485" t="s">
        <v>946</v>
      </c>
      <c r="C485">
        <v>11</v>
      </c>
      <c r="D485">
        <v>3122.4</v>
      </c>
      <c r="E485">
        <v>2</v>
      </c>
    </row>
    <row r="486" spans="1:5" x14ac:dyDescent="0.25">
      <c r="A486" t="s">
        <v>947</v>
      </c>
      <c r="B486" t="s">
        <v>948</v>
      </c>
      <c r="C486">
        <v>6</v>
      </c>
      <c r="D486">
        <v>1703.1</v>
      </c>
      <c r="E486">
        <v>1</v>
      </c>
    </row>
    <row r="487" spans="1:5" x14ac:dyDescent="0.25">
      <c r="A487" t="s">
        <v>949</v>
      </c>
      <c r="B487" t="s">
        <v>950</v>
      </c>
      <c r="C487">
        <v>7</v>
      </c>
      <c r="D487">
        <v>1987</v>
      </c>
      <c r="E487">
        <v>2</v>
      </c>
    </row>
    <row r="488" spans="1:5" x14ac:dyDescent="0.25">
      <c r="A488" t="s">
        <v>951</v>
      </c>
      <c r="B488" t="s">
        <v>952</v>
      </c>
      <c r="C488">
        <v>7</v>
      </c>
      <c r="D488">
        <v>1987</v>
      </c>
      <c r="E488">
        <v>2</v>
      </c>
    </row>
    <row r="489" spans="1:5" x14ac:dyDescent="0.25">
      <c r="A489" t="s">
        <v>953</v>
      </c>
      <c r="B489" t="s">
        <v>954</v>
      </c>
      <c r="C489">
        <v>6</v>
      </c>
      <c r="D489">
        <v>1703.1</v>
      </c>
      <c r="E489">
        <v>2</v>
      </c>
    </row>
    <row r="490" spans="1:5" x14ac:dyDescent="0.25">
      <c r="A490" t="s">
        <v>955</v>
      </c>
      <c r="B490" t="s">
        <v>956</v>
      </c>
      <c r="C490">
        <v>6</v>
      </c>
      <c r="D490">
        <v>1703.1</v>
      </c>
      <c r="E490">
        <v>0</v>
      </c>
    </row>
    <row r="491" spans="1:5" x14ac:dyDescent="0.25">
      <c r="A491" t="s">
        <v>957</v>
      </c>
      <c r="B491" t="s">
        <v>958</v>
      </c>
      <c r="C491">
        <v>6</v>
      </c>
      <c r="D491">
        <v>1703.1</v>
      </c>
      <c r="E491">
        <v>2</v>
      </c>
    </row>
    <row r="492" spans="1:5" x14ac:dyDescent="0.25">
      <c r="A492" t="s">
        <v>959</v>
      </c>
      <c r="B492" t="s">
        <v>960</v>
      </c>
      <c r="C492">
        <v>6</v>
      </c>
      <c r="D492">
        <v>1703.1</v>
      </c>
      <c r="E492">
        <v>2</v>
      </c>
    </row>
    <row r="493" spans="1:5" x14ac:dyDescent="0.25">
      <c r="A493" t="s">
        <v>961</v>
      </c>
      <c r="B493" t="s">
        <v>962</v>
      </c>
      <c r="C493">
        <v>4</v>
      </c>
      <c r="D493">
        <v>1135.4000000000001</v>
      </c>
      <c r="E493">
        <v>2</v>
      </c>
    </row>
    <row r="494" spans="1:5" x14ac:dyDescent="0.25">
      <c r="A494" t="s">
        <v>963</v>
      </c>
      <c r="B494" t="s">
        <v>964</v>
      </c>
      <c r="C494">
        <v>8</v>
      </c>
      <c r="D494">
        <v>2270.8000000000002</v>
      </c>
      <c r="E494">
        <v>2</v>
      </c>
    </row>
    <row r="495" spans="1:5" x14ac:dyDescent="0.25">
      <c r="A495" t="s">
        <v>965</v>
      </c>
      <c r="B495" t="s">
        <v>966</v>
      </c>
      <c r="C495">
        <v>4</v>
      </c>
      <c r="D495">
        <v>1135.4000000000001</v>
      </c>
      <c r="E495">
        <v>2</v>
      </c>
    </row>
    <row r="496" spans="1:5" x14ac:dyDescent="0.25">
      <c r="A496" t="s">
        <v>967</v>
      </c>
      <c r="B496" t="s">
        <v>968</v>
      </c>
      <c r="C496">
        <v>4</v>
      </c>
      <c r="D496">
        <v>1135.4000000000001</v>
      </c>
      <c r="E496">
        <v>1</v>
      </c>
    </row>
    <row r="497" spans="1:5" x14ac:dyDescent="0.25">
      <c r="A497" t="s">
        <v>969</v>
      </c>
      <c r="B497" t="s">
        <v>970</v>
      </c>
      <c r="C497">
        <v>4</v>
      </c>
      <c r="D497">
        <v>1135.4000000000001</v>
      </c>
      <c r="E497">
        <v>2</v>
      </c>
    </row>
    <row r="498" spans="1:5" x14ac:dyDescent="0.25">
      <c r="A498" t="s">
        <v>971</v>
      </c>
      <c r="B498" t="s">
        <v>972</v>
      </c>
      <c r="C498">
        <v>6</v>
      </c>
      <c r="D498">
        <v>1703.1</v>
      </c>
      <c r="E498">
        <v>2</v>
      </c>
    </row>
    <row r="499" spans="1:5" x14ac:dyDescent="0.25">
      <c r="A499" t="s">
        <v>973</v>
      </c>
      <c r="B499" t="s">
        <v>974</v>
      </c>
      <c r="C499">
        <v>6</v>
      </c>
      <c r="D499">
        <v>1703.1</v>
      </c>
      <c r="E499">
        <v>2</v>
      </c>
    </row>
    <row r="500" spans="1:5" x14ac:dyDescent="0.25">
      <c r="A500" t="s">
        <v>975</v>
      </c>
      <c r="B500" t="s">
        <v>976</v>
      </c>
      <c r="C500">
        <v>6</v>
      </c>
      <c r="D500">
        <v>1703.1</v>
      </c>
      <c r="E500">
        <v>2</v>
      </c>
    </row>
    <row r="501" spans="1:5" x14ac:dyDescent="0.25">
      <c r="A501" t="s">
        <v>977</v>
      </c>
      <c r="B501" t="s">
        <v>978</v>
      </c>
      <c r="C501">
        <v>6</v>
      </c>
      <c r="D501">
        <v>1703.1</v>
      </c>
      <c r="E501">
        <v>2</v>
      </c>
    </row>
    <row r="502" spans="1:5" x14ac:dyDescent="0.25">
      <c r="A502" t="s">
        <v>979</v>
      </c>
      <c r="B502" t="s">
        <v>980</v>
      </c>
      <c r="C502">
        <v>6</v>
      </c>
      <c r="D502">
        <v>1703.1</v>
      </c>
      <c r="E502">
        <v>2</v>
      </c>
    </row>
    <row r="503" spans="1:5" x14ac:dyDescent="0.25">
      <c r="A503" t="s">
        <v>981</v>
      </c>
      <c r="B503" t="s">
        <v>982</v>
      </c>
      <c r="C503">
        <v>5</v>
      </c>
      <c r="D503">
        <v>1419.3</v>
      </c>
      <c r="E503">
        <v>2</v>
      </c>
    </row>
    <row r="504" spans="1:5" x14ac:dyDescent="0.25">
      <c r="A504" t="s">
        <v>983</v>
      </c>
      <c r="B504" t="s">
        <v>984</v>
      </c>
      <c r="C504">
        <v>6</v>
      </c>
      <c r="D504">
        <v>1703.1</v>
      </c>
      <c r="E504">
        <v>2</v>
      </c>
    </row>
    <row r="505" spans="1:5" x14ac:dyDescent="0.25">
      <c r="A505" t="s">
        <v>985</v>
      </c>
      <c r="B505" t="s">
        <v>986</v>
      </c>
      <c r="C505">
        <v>7</v>
      </c>
      <c r="D505">
        <v>1987</v>
      </c>
      <c r="E505">
        <v>2</v>
      </c>
    </row>
    <row r="506" spans="1:5" x14ac:dyDescent="0.25">
      <c r="A506" t="s">
        <v>987</v>
      </c>
      <c r="B506" t="s">
        <v>988</v>
      </c>
      <c r="C506">
        <v>7</v>
      </c>
      <c r="D506">
        <v>1987</v>
      </c>
      <c r="E506">
        <v>2</v>
      </c>
    </row>
    <row r="507" spans="1:5" x14ac:dyDescent="0.25">
      <c r="A507" t="s">
        <v>989</v>
      </c>
      <c r="B507" t="s">
        <v>990</v>
      </c>
      <c r="C507">
        <v>5</v>
      </c>
      <c r="D507">
        <v>1419.3</v>
      </c>
      <c r="E507">
        <v>2</v>
      </c>
    </row>
    <row r="508" spans="1:5" x14ac:dyDescent="0.25">
      <c r="A508" t="s">
        <v>991</v>
      </c>
      <c r="B508" t="s">
        <v>992</v>
      </c>
      <c r="C508">
        <v>4</v>
      </c>
      <c r="D508">
        <v>1135.4000000000001</v>
      </c>
      <c r="E508">
        <v>2</v>
      </c>
    </row>
    <row r="509" spans="1:5" x14ac:dyDescent="0.25">
      <c r="A509" t="s">
        <v>993</v>
      </c>
      <c r="B509" t="s">
        <v>994</v>
      </c>
      <c r="C509">
        <v>3</v>
      </c>
      <c r="D509">
        <v>851.6</v>
      </c>
      <c r="E509">
        <v>2</v>
      </c>
    </row>
    <row r="510" spans="1:5" x14ac:dyDescent="0.25">
      <c r="A510" t="s">
        <v>995</v>
      </c>
      <c r="B510" t="s">
        <v>996</v>
      </c>
      <c r="C510">
        <v>3</v>
      </c>
      <c r="D510">
        <v>851.6</v>
      </c>
      <c r="E510">
        <v>1</v>
      </c>
    </row>
    <row r="511" spans="1:5" x14ac:dyDescent="0.25">
      <c r="A511" t="s">
        <v>997</v>
      </c>
      <c r="B511" t="s">
        <v>998</v>
      </c>
      <c r="C511">
        <v>3</v>
      </c>
      <c r="D511">
        <v>851.6</v>
      </c>
      <c r="E511">
        <v>1</v>
      </c>
    </row>
    <row r="512" spans="1:5" x14ac:dyDescent="0.25">
      <c r="A512" t="s">
        <v>999</v>
      </c>
      <c r="B512" t="s">
        <v>1000</v>
      </c>
      <c r="C512">
        <v>3</v>
      </c>
      <c r="D512">
        <v>851.6</v>
      </c>
      <c r="E512">
        <v>1</v>
      </c>
    </row>
    <row r="513" spans="1:5" x14ac:dyDescent="0.25">
      <c r="A513" t="s">
        <v>1001</v>
      </c>
      <c r="B513" t="s">
        <v>1002</v>
      </c>
      <c r="C513">
        <v>3</v>
      </c>
      <c r="D513">
        <v>851.6</v>
      </c>
      <c r="E513">
        <v>1</v>
      </c>
    </row>
    <row r="514" spans="1:5" x14ac:dyDescent="0.25">
      <c r="A514" t="s">
        <v>1003</v>
      </c>
      <c r="B514" t="s">
        <v>1004</v>
      </c>
      <c r="C514">
        <v>6</v>
      </c>
      <c r="D514">
        <v>1703.1</v>
      </c>
      <c r="E514">
        <v>2</v>
      </c>
    </row>
    <row r="515" spans="1:5" x14ac:dyDescent="0.25">
      <c r="A515" t="s">
        <v>1005</v>
      </c>
      <c r="B515" t="s">
        <v>1006</v>
      </c>
      <c r="C515">
        <v>8</v>
      </c>
      <c r="D515">
        <v>2270.8000000000002</v>
      </c>
      <c r="E515">
        <v>2</v>
      </c>
    </row>
    <row r="516" spans="1:5" x14ac:dyDescent="0.25">
      <c r="A516" t="s">
        <v>1007</v>
      </c>
      <c r="B516" t="s">
        <v>1008</v>
      </c>
      <c r="C516">
        <v>5</v>
      </c>
      <c r="D516">
        <v>1419.3</v>
      </c>
      <c r="E516">
        <v>2</v>
      </c>
    </row>
    <row r="517" spans="1:5" x14ac:dyDescent="0.25">
      <c r="A517" t="s">
        <v>1009</v>
      </c>
      <c r="B517" t="s">
        <v>1010</v>
      </c>
      <c r="C517">
        <v>7</v>
      </c>
      <c r="D517">
        <v>1987</v>
      </c>
      <c r="E517">
        <v>2</v>
      </c>
    </row>
    <row r="518" spans="1:5" x14ac:dyDescent="0.25">
      <c r="A518" t="s">
        <v>1011</v>
      </c>
      <c r="B518" t="s">
        <v>1012</v>
      </c>
      <c r="C518">
        <v>4</v>
      </c>
      <c r="D518">
        <v>1135.4000000000001</v>
      </c>
      <c r="E518">
        <v>2</v>
      </c>
    </row>
    <row r="519" spans="1:5" x14ac:dyDescent="0.25">
      <c r="A519" t="s">
        <v>1013</v>
      </c>
      <c r="B519" t="s">
        <v>1014</v>
      </c>
      <c r="C519">
        <v>7</v>
      </c>
      <c r="D519">
        <v>1987</v>
      </c>
      <c r="E519">
        <v>2</v>
      </c>
    </row>
    <row r="520" spans="1:5" x14ac:dyDescent="0.25">
      <c r="A520" t="s">
        <v>1015</v>
      </c>
      <c r="B520" t="s">
        <v>1016</v>
      </c>
      <c r="C520">
        <v>6</v>
      </c>
      <c r="D520">
        <v>1703.1</v>
      </c>
      <c r="E520">
        <v>2</v>
      </c>
    </row>
    <row r="521" spans="1:5" x14ac:dyDescent="0.25">
      <c r="A521" t="s">
        <v>1017</v>
      </c>
      <c r="B521" t="s">
        <v>1018</v>
      </c>
      <c r="C521">
        <v>6</v>
      </c>
      <c r="D521">
        <v>1703.1</v>
      </c>
      <c r="E521">
        <v>2</v>
      </c>
    </row>
    <row r="522" spans="1:5" x14ac:dyDescent="0.25">
      <c r="A522" t="s">
        <v>1019</v>
      </c>
      <c r="B522" t="s">
        <v>1020</v>
      </c>
      <c r="C522">
        <v>4</v>
      </c>
      <c r="D522">
        <v>1135.4000000000001</v>
      </c>
      <c r="E522">
        <v>2</v>
      </c>
    </row>
    <row r="523" spans="1:5" x14ac:dyDescent="0.25">
      <c r="A523" t="s">
        <v>1021</v>
      </c>
      <c r="B523" t="s">
        <v>1022</v>
      </c>
      <c r="C523">
        <v>4</v>
      </c>
      <c r="D523">
        <v>1135.4000000000001</v>
      </c>
      <c r="E523">
        <v>2</v>
      </c>
    </row>
    <row r="524" spans="1:5" x14ac:dyDescent="0.25">
      <c r="A524" t="s">
        <v>1023</v>
      </c>
      <c r="B524" t="s">
        <v>1024</v>
      </c>
      <c r="C524">
        <v>3</v>
      </c>
      <c r="D524">
        <v>851.6</v>
      </c>
      <c r="E524">
        <v>2</v>
      </c>
    </row>
    <row r="525" spans="1:5" x14ac:dyDescent="0.25">
      <c r="A525" t="s">
        <v>1025</v>
      </c>
      <c r="B525" t="s">
        <v>1026</v>
      </c>
      <c r="C525">
        <v>3</v>
      </c>
      <c r="D525">
        <v>851.6</v>
      </c>
      <c r="E525">
        <v>2</v>
      </c>
    </row>
    <row r="526" spans="1:5" x14ac:dyDescent="0.25">
      <c r="A526" t="s">
        <v>1027</v>
      </c>
      <c r="B526" t="s">
        <v>1028</v>
      </c>
      <c r="C526">
        <v>5</v>
      </c>
      <c r="D526">
        <v>1419.3</v>
      </c>
      <c r="E526">
        <v>2</v>
      </c>
    </row>
    <row r="527" spans="1:5" x14ac:dyDescent="0.25">
      <c r="A527" t="s">
        <v>1029</v>
      </c>
      <c r="B527" t="s">
        <v>1030</v>
      </c>
      <c r="C527">
        <v>3</v>
      </c>
      <c r="D527">
        <v>851.6</v>
      </c>
      <c r="E527">
        <v>2</v>
      </c>
    </row>
    <row r="528" spans="1:5" x14ac:dyDescent="0.25">
      <c r="A528" t="s">
        <v>1031</v>
      </c>
      <c r="B528" t="s">
        <v>1032</v>
      </c>
      <c r="C528">
        <v>3</v>
      </c>
      <c r="D528">
        <v>851.6</v>
      </c>
      <c r="E528">
        <v>2</v>
      </c>
    </row>
    <row r="529" spans="1:5" x14ac:dyDescent="0.25">
      <c r="A529" t="s">
        <v>1033</v>
      </c>
      <c r="B529" t="s">
        <v>1034</v>
      </c>
      <c r="C529">
        <v>3</v>
      </c>
      <c r="D529">
        <v>851.6</v>
      </c>
      <c r="E529">
        <v>2</v>
      </c>
    </row>
    <row r="530" spans="1:5" x14ac:dyDescent="0.25">
      <c r="A530" t="s">
        <v>1035</v>
      </c>
      <c r="B530" t="s">
        <v>1036</v>
      </c>
      <c r="C530">
        <v>3</v>
      </c>
      <c r="D530">
        <v>851.6</v>
      </c>
      <c r="E530">
        <v>2</v>
      </c>
    </row>
    <row r="531" spans="1:5" x14ac:dyDescent="0.25">
      <c r="A531" t="s">
        <v>1037</v>
      </c>
      <c r="B531" t="s">
        <v>1038</v>
      </c>
      <c r="C531">
        <v>3</v>
      </c>
      <c r="D531">
        <v>851.6</v>
      </c>
      <c r="E531">
        <v>2</v>
      </c>
    </row>
    <row r="532" spans="1:5" x14ac:dyDescent="0.25">
      <c r="A532" t="s">
        <v>1039</v>
      </c>
      <c r="B532" t="s">
        <v>1040</v>
      </c>
      <c r="C532">
        <v>5</v>
      </c>
      <c r="D532">
        <v>1419.3</v>
      </c>
      <c r="E532">
        <v>2</v>
      </c>
    </row>
    <row r="533" spans="1:5" x14ac:dyDescent="0.25">
      <c r="A533" t="s">
        <v>1041</v>
      </c>
      <c r="B533" t="s">
        <v>1042</v>
      </c>
      <c r="C533">
        <v>3</v>
      </c>
      <c r="D533">
        <v>851.6</v>
      </c>
      <c r="E533">
        <v>2</v>
      </c>
    </row>
    <row r="534" spans="1:5" x14ac:dyDescent="0.25">
      <c r="A534" t="s">
        <v>1043</v>
      </c>
      <c r="B534" t="s">
        <v>1044</v>
      </c>
      <c r="C534">
        <v>6</v>
      </c>
      <c r="D534">
        <v>1703.1</v>
      </c>
      <c r="E534">
        <v>2</v>
      </c>
    </row>
    <row r="535" spans="1:5" x14ac:dyDescent="0.25">
      <c r="A535" t="s">
        <v>1045</v>
      </c>
      <c r="B535" t="s">
        <v>1046</v>
      </c>
      <c r="C535">
        <v>3</v>
      </c>
      <c r="D535">
        <v>851.6</v>
      </c>
      <c r="E535">
        <v>2</v>
      </c>
    </row>
    <row r="536" spans="1:5" x14ac:dyDescent="0.25">
      <c r="A536" t="s">
        <v>1047</v>
      </c>
      <c r="B536" t="s">
        <v>1048</v>
      </c>
      <c r="C536">
        <v>3</v>
      </c>
      <c r="D536">
        <v>851.6</v>
      </c>
      <c r="E536">
        <v>2</v>
      </c>
    </row>
    <row r="537" spans="1:5" x14ac:dyDescent="0.25">
      <c r="A537" t="s">
        <v>1049</v>
      </c>
      <c r="B537" t="s">
        <v>1050</v>
      </c>
      <c r="C537">
        <v>5</v>
      </c>
      <c r="D537">
        <v>1419.3</v>
      </c>
      <c r="E537">
        <v>11</v>
      </c>
    </row>
    <row r="538" spans="1:5" x14ac:dyDescent="0.25">
      <c r="A538" t="s">
        <v>1051</v>
      </c>
      <c r="B538" t="s">
        <v>1052</v>
      </c>
      <c r="C538">
        <v>3</v>
      </c>
      <c r="D538">
        <v>851.6</v>
      </c>
      <c r="E538">
        <v>2</v>
      </c>
    </row>
    <row r="539" spans="1:5" x14ac:dyDescent="0.25">
      <c r="A539" t="s">
        <v>1053</v>
      </c>
      <c r="B539" t="s">
        <v>1054</v>
      </c>
      <c r="C539">
        <v>4</v>
      </c>
      <c r="D539">
        <v>1135.4000000000001</v>
      </c>
      <c r="E539">
        <v>2</v>
      </c>
    </row>
    <row r="540" spans="1:5" x14ac:dyDescent="0.25">
      <c r="A540" t="s">
        <v>1055</v>
      </c>
      <c r="B540" t="s">
        <v>1056</v>
      </c>
      <c r="C540">
        <v>7</v>
      </c>
      <c r="D540">
        <v>1987</v>
      </c>
      <c r="E540">
        <v>2</v>
      </c>
    </row>
    <row r="541" spans="1:5" x14ac:dyDescent="0.25">
      <c r="A541" t="s">
        <v>1057</v>
      </c>
      <c r="B541" t="s">
        <v>1058</v>
      </c>
      <c r="C541">
        <v>9</v>
      </c>
      <c r="D541">
        <v>2554.6999999999998</v>
      </c>
      <c r="E541">
        <v>2</v>
      </c>
    </row>
    <row r="542" spans="1:5" x14ac:dyDescent="0.25">
      <c r="A542" t="s">
        <v>1059</v>
      </c>
      <c r="B542" t="s">
        <v>1060</v>
      </c>
      <c r="C542">
        <v>9</v>
      </c>
      <c r="D542">
        <v>2554.6999999999998</v>
      </c>
      <c r="E542">
        <v>2</v>
      </c>
    </row>
    <row r="543" spans="1:5" x14ac:dyDescent="0.25">
      <c r="A543" t="s">
        <v>1061</v>
      </c>
      <c r="B543" t="s">
        <v>1062</v>
      </c>
      <c r="C543">
        <v>9</v>
      </c>
      <c r="D543">
        <v>2554.6999999999998</v>
      </c>
      <c r="E543">
        <v>2</v>
      </c>
    </row>
    <row r="544" spans="1:5" x14ac:dyDescent="0.25">
      <c r="A544" t="s">
        <v>1063</v>
      </c>
      <c r="B544" t="s">
        <v>1064</v>
      </c>
      <c r="C544">
        <v>9</v>
      </c>
      <c r="D544">
        <v>2554.6999999999998</v>
      </c>
      <c r="E544">
        <v>2</v>
      </c>
    </row>
    <row r="545" spans="1:5" x14ac:dyDescent="0.25">
      <c r="A545" t="s">
        <v>1065</v>
      </c>
      <c r="B545" t="s">
        <v>1066</v>
      </c>
      <c r="C545">
        <v>9</v>
      </c>
      <c r="D545">
        <v>2554.6999999999998</v>
      </c>
      <c r="E545">
        <v>2</v>
      </c>
    </row>
    <row r="546" spans="1:5" x14ac:dyDescent="0.25">
      <c r="A546" t="s">
        <v>1067</v>
      </c>
      <c r="B546" t="s">
        <v>1068</v>
      </c>
      <c r="C546">
        <v>15</v>
      </c>
      <c r="D546">
        <v>4257.8</v>
      </c>
      <c r="E546">
        <v>2</v>
      </c>
    </row>
    <row r="547" spans="1:5" x14ac:dyDescent="0.25">
      <c r="A547" t="s">
        <v>1069</v>
      </c>
      <c r="B547" t="s">
        <v>1070</v>
      </c>
      <c r="C547">
        <v>5</v>
      </c>
      <c r="D547">
        <v>1419.3</v>
      </c>
      <c r="E547">
        <v>2</v>
      </c>
    </row>
    <row r="548" spans="1:5" x14ac:dyDescent="0.25">
      <c r="A548" t="s">
        <v>1071</v>
      </c>
      <c r="B548" t="s">
        <v>1072</v>
      </c>
      <c r="C548">
        <v>9</v>
      </c>
      <c r="D548">
        <v>2554.6999999999998</v>
      </c>
      <c r="E548">
        <v>2</v>
      </c>
    </row>
    <row r="549" spans="1:5" x14ac:dyDescent="0.25">
      <c r="A549" t="s">
        <v>1073</v>
      </c>
      <c r="B549" t="s">
        <v>1074</v>
      </c>
      <c r="C549">
        <v>6</v>
      </c>
      <c r="D549">
        <v>1703.1</v>
      </c>
      <c r="E549">
        <v>2</v>
      </c>
    </row>
    <row r="550" spans="1:5" x14ac:dyDescent="0.25">
      <c r="A550" t="s">
        <v>1075</v>
      </c>
      <c r="B550" t="s">
        <v>1076</v>
      </c>
      <c r="C550">
        <v>6</v>
      </c>
      <c r="D550">
        <v>1703.1</v>
      </c>
      <c r="E550">
        <v>2</v>
      </c>
    </row>
    <row r="551" spans="1:5" x14ac:dyDescent="0.25">
      <c r="A551" t="s">
        <v>1077</v>
      </c>
      <c r="B551" t="s">
        <v>1078</v>
      </c>
      <c r="C551">
        <v>6</v>
      </c>
      <c r="D551">
        <v>1703.1</v>
      </c>
      <c r="E551">
        <v>2</v>
      </c>
    </row>
    <row r="552" spans="1:5" x14ac:dyDescent="0.25">
      <c r="A552" t="s">
        <v>1079</v>
      </c>
      <c r="B552" t="s">
        <v>1080</v>
      </c>
      <c r="C552">
        <v>6</v>
      </c>
      <c r="D552">
        <v>1703.1</v>
      </c>
      <c r="E552">
        <v>2</v>
      </c>
    </row>
    <row r="553" spans="1:5" x14ac:dyDescent="0.25">
      <c r="A553" t="s">
        <v>1081</v>
      </c>
      <c r="B553" t="s">
        <v>1082</v>
      </c>
      <c r="C553">
        <v>6</v>
      </c>
      <c r="D553">
        <v>1703.1</v>
      </c>
      <c r="E553">
        <v>2</v>
      </c>
    </row>
    <row r="554" spans="1:5" x14ac:dyDescent="0.25">
      <c r="A554" t="s">
        <v>1083</v>
      </c>
      <c r="B554" t="s">
        <v>1084</v>
      </c>
      <c r="C554">
        <v>6</v>
      </c>
      <c r="D554">
        <v>1703.1</v>
      </c>
      <c r="E554">
        <v>2</v>
      </c>
    </row>
    <row r="555" spans="1:5" x14ac:dyDescent="0.25">
      <c r="A555" t="s">
        <v>1085</v>
      </c>
      <c r="B555" t="s">
        <v>1086</v>
      </c>
      <c r="C555">
        <v>6</v>
      </c>
      <c r="D555">
        <v>1703.1</v>
      </c>
      <c r="E555">
        <v>2</v>
      </c>
    </row>
    <row r="556" spans="1:5" x14ac:dyDescent="0.25">
      <c r="A556" t="s">
        <v>1087</v>
      </c>
      <c r="B556" t="s">
        <v>1088</v>
      </c>
      <c r="C556">
        <v>6</v>
      </c>
      <c r="D556">
        <v>1703.1</v>
      </c>
      <c r="E556">
        <v>2</v>
      </c>
    </row>
    <row r="557" spans="1:5" x14ac:dyDescent="0.25">
      <c r="A557" t="s">
        <v>1089</v>
      </c>
      <c r="B557" t="s">
        <v>1090</v>
      </c>
      <c r="C557">
        <v>6</v>
      </c>
      <c r="D557">
        <v>1703.1</v>
      </c>
      <c r="E557">
        <v>2</v>
      </c>
    </row>
    <row r="558" spans="1:5" x14ac:dyDescent="0.25">
      <c r="A558" t="s">
        <v>1091</v>
      </c>
      <c r="B558" t="s">
        <v>1092</v>
      </c>
      <c r="C558">
        <v>6</v>
      </c>
      <c r="D558">
        <v>1703.1</v>
      </c>
      <c r="E558">
        <v>2</v>
      </c>
    </row>
    <row r="559" spans="1:5" x14ac:dyDescent="0.25">
      <c r="A559" t="s">
        <v>1093</v>
      </c>
      <c r="B559" t="s">
        <v>1094</v>
      </c>
      <c r="C559">
        <v>11</v>
      </c>
      <c r="D559">
        <v>3122.4</v>
      </c>
      <c r="E559">
        <v>2</v>
      </c>
    </row>
    <row r="560" spans="1:5" x14ac:dyDescent="0.25">
      <c r="A560" t="s">
        <v>1095</v>
      </c>
      <c r="B560" t="s">
        <v>1096</v>
      </c>
      <c r="C560">
        <v>4</v>
      </c>
      <c r="D560">
        <v>1135.4000000000001</v>
      </c>
      <c r="E560">
        <v>2</v>
      </c>
    </row>
    <row r="561" spans="1:5" x14ac:dyDescent="0.25">
      <c r="A561" t="s">
        <v>1097</v>
      </c>
      <c r="B561" t="s">
        <v>1098</v>
      </c>
      <c r="C561">
        <v>4</v>
      </c>
      <c r="D561">
        <v>1135.4000000000001</v>
      </c>
      <c r="E561">
        <v>2</v>
      </c>
    </row>
    <row r="562" spans="1:5" x14ac:dyDescent="0.25">
      <c r="A562" t="s">
        <v>1099</v>
      </c>
      <c r="B562" t="s">
        <v>1100</v>
      </c>
      <c r="C562">
        <v>6</v>
      </c>
      <c r="D562">
        <v>1703.1</v>
      </c>
      <c r="E562">
        <v>2</v>
      </c>
    </row>
    <row r="563" spans="1:5" x14ac:dyDescent="0.25">
      <c r="A563" t="s">
        <v>1101</v>
      </c>
      <c r="B563" t="s">
        <v>1102</v>
      </c>
      <c r="C563">
        <v>6</v>
      </c>
      <c r="D563">
        <v>1703.1</v>
      </c>
      <c r="E563">
        <v>2</v>
      </c>
    </row>
    <row r="564" spans="1:5" x14ac:dyDescent="0.25">
      <c r="A564" t="s">
        <v>1103</v>
      </c>
      <c r="B564" t="s">
        <v>1104</v>
      </c>
      <c r="C564">
        <v>6</v>
      </c>
      <c r="D564">
        <v>1703.1</v>
      </c>
      <c r="E564">
        <v>2</v>
      </c>
    </row>
    <row r="565" spans="1:5" x14ac:dyDescent="0.25">
      <c r="A565" t="s">
        <v>1105</v>
      </c>
      <c r="B565" t="s">
        <v>1106</v>
      </c>
      <c r="C565">
        <v>6</v>
      </c>
      <c r="D565">
        <v>1703.1</v>
      </c>
      <c r="E565">
        <v>2</v>
      </c>
    </row>
    <row r="566" spans="1:5" x14ac:dyDescent="0.25">
      <c r="A566" t="s">
        <v>1107</v>
      </c>
      <c r="B566" t="s">
        <v>1108</v>
      </c>
      <c r="C566">
        <v>6</v>
      </c>
      <c r="D566">
        <v>1703.1</v>
      </c>
      <c r="E566">
        <v>2</v>
      </c>
    </row>
    <row r="567" spans="1:5" x14ac:dyDescent="0.25">
      <c r="A567" t="s">
        <v>1109</v>
      </c>
      <c r="B567" t="s">
        <v>1110</v>
      </c>
      <c r="C567">
        <v>8</v>
      </c>
      <c r="D567">
        <v>2270.8000000000002</v>
      </c>
      <c r="E567">
        <v>2</v>
      </c>
    </row>
    <row r="568" spans="1:5" x14ac:dyDescent="0.25">
      <c r="A568" t="s">
        <v>1111</v>
      </c>
      <c r="B568" t="s">
        <v>1112</v>
      </c>
      <c r="C568">
        <v>4</v>
      </c>
      <c r="D568">
        <v>1135.4000000000001</v>
      </c>
      <c r="E568">
        <v>2</v>
      </c>
    </row>
    <row r="569" spans="1:5" x14ac:dyDescent="0.25">
      <c r="A569" t="s">
        <v>1113</v>
      </c>
      <c r="B569" t="s">
        <v>1114</v>
      </c>
      <c r="C569">
        <v>8</v>
      </c>
      <c r="D569">
        <v>2270.8000000000002</v>
      </c>
      <c r="E569">
        <v>2</v>
      </c>
    </row>
    <row r="570" spans="1:5" x14ac:dyDescent="0.25">
      <c r="A570" t="s">
        <v>1115</v>
      </c>
      <c r="B570" t="s">
        <v>1116</v>
      </c>
      <c r="C570">
        <v>8</v>
      </c>
      <c r="D570">
        <v>2270.8000000000002</v>
      </c>
      <c r="E570">
        <v>2</v>
      </c>
    </row>
    <row r="571" spans="1:5" x14ac:dyDescent="0.25">
      <c r="A571" t="s">
        <v>1117</v>
      </c>
      <c r="B571" t="s">
        <v>1118</v>
      </c>
      <c r="C571">
        <v>4</v>
      </c>
      <c r="D571">
        <v>1135.4000000000001</v>
      </c>
      <c r="E571">
        <v>2</v>
      </c>
    </row>
    <row r="572" spans="1:5" x14ac:dyDescent="0.25">
      <c r="A572" t="s">
        <v>1119</v>
      </c>
      <c r="B572" t="s">
        <v>1120</v>
      </c>
      <c r="C572">
        <v>4</v>
      </c>
      <c r="D572">
        <v>1135.4000000000001</v>
      </c>
      <c r="E572">
        <v>2</v>
      </c>
    </row>
    <row r="573" spans="1:5" x14ac:dyDescent="0.25">
      <c r="A573" t="s">
        <v>1121</v>
      </c>
      <c r="B573" t="s">
        <v>1122</v>
      </c>
      <c r="C573">
        <v>5</v>
      </c>
      <c r="D573">
        <v>1419.3</v>
      </c>
      <c r="E573">
        <v>2</v>
      </c>
    </row>
    <row r="574" spans="1:5" x14ac:dyDescent="0.25">
      <c r="A574" t="s">
        <v>1123</v>
      </c>
      <c r="B574" t="s">
        <v>1124</v>
      </c>
      <c r="C574">
        <v>4</v>
      </c>
      <c r="D574">
        <v>1135.4000000000001</v>
      </c>
      <c r="E574">
        <v>2</v>
      </c>
    </row>
    <row r="575" spans="1:5" x14ac:dyDescent="0.25">
      <c r="A575" t="s">
        <v>1125</v>
      </c>
      <c r="B575" t="s">
        <v>1126</v>
      </c>
      <c r="C575">
        <v>7</v>
      </c>
      <c r="D575">
        <v>1987</v>
      </c>
      <c r="E575">
        <v>2</v>
      </c>
    </row>
    <row r="576" spans="1:5" x14ac:dyDescent="0.25">
      <c r="A576" t="s">
        <v>1127</v>
      </c>
      <c r="B576" t="s">
        <v>1128</v>
      </c>
      <c r="C576">
        <v>9</v>
      </c>
      <c r="D576">
        <v>2554.6999999999998</v>
      </c>
      <c r="E576">
        <v>2</v>
      </c>
    </row>
    <row r="577" spans="1:5" x14ac:dyDescent="0.25">
      <c r="A577" t="s">
        <v>1129</v>
      </c>
      <c r="B577" t="s">
        <v>1130</v>
      </c>
      <c r="C577">
        <v>5</v>
      </c>
      <c r="D577">
        <v>1419.3</v>
      </c>
      <c r="E577">
        <v>2</v>
      </c>
    </row>
    <row r="578" spans="1:5" x14ac:dyDescent="0.25">
      <c r="A578" t="s">
        <v>1131</v>
      </c>
      <c r="B578" t="s">
        <v>1130</v>
      </c>
      <c r="C578">
        <v>4</v>
      </c>
      <c r="D578">
        <v>1135.4000000000001</v>
      </c>
      <c r="E578">
        <v>2</v>
      </c>
    </row>
    <row r="579" spans="1:5" x14ac:dyDescent="0.25">
      <c r="A579" t="s">
        <v>1132</v>
      </c>
      <c r="B579" t="s">
        <v>1133</v>
      </c>
      <c r="C579">
        <v>4</v>
      </c>
      <c r="D579">
        <v>1135.4000000000001</v>
      </c>
      <c r="E579">
        <v>2</v>
      </c>
    </row>
    <row r="580" spans="1:5" x14ac:dyDescent="0.25">
      <c r="A580" t="s">
        <v>1134</v>
      </c>
      <c r="B580" t="s">
        <v>1135</v>
      </c>
      <c r="C580">
        <v>4</v>
      </c>
      <c r="D580">
        <v>1135.4000000000001</v>
      </c>
      <c r="E580">
        <v>1</v>
      </c>
    </row>
    <row r="581" spans="1:5" x14ac:dyDescent="0.25">
      <c r="A581" t="s">
        <v>1136</v>
      </c>
      <c r="B581" t="s">
        <v>1137</v>
      </c>
      <c r="C581">
        <v>4</v>
      </c>
      <c r="D581">
        <v>1135.4000000000001</v>
      </c>
      <c r="E581">
        <v>1</v>
      </c>
    </row>
    <row r="582" spans="1:5" x14ac:dyDescent="0.25">
      <c r="A582" t="s">
        <v>1138</v>
      </c>
      <c r="B582" t="s">
        <v>1139</v>
      </c>
      <c r="C582">
        <v>4</v>
      </c>
      <c r="D582">
        <v>1135.4000000000001</v>
      </c>
      <c r="E582">
        <v>2</v>
      </c>
    </row>
    <row r="583" spans="1:5" x14ac:dyDescent="0.25">
      <c r="A583" t="s">
        <v>1140</v>
      </c>
      <c r="B583" t="s">
        <v>1141</v>
      </c>
      <c r="C583">
        <v>7</v>
      </c>
      <c r="D583">
        <v>1987</v>
      </c>
      <c r="E583">
        <v>2</v>
      </c>
    </row>
    <row r="584" spans="1:5" x14ac:dyDescent="0.25">
      <c r="A584" t="s">
        <v>1142</v>
      </c>
      <c r="B584" t="s">
        <v>1143</v>
      </c>
      <c r="C584">
        <v>4</v>
      </c>
      <c r="D584">
        <v>1135.4000000000001</v>
      </c>
      <c r="E584">
        <v>2</v>
      </c>
    </row>
    <row r="585" spans="1:5" x14ac:dyDescent="0.25">
      <c r="A585" t="s">
        <v>1144</v>
      </c>
      <c r="B585" t="s">
        <v>1145</v>
      </c>
      <c r="C585">
        <v>4</v>
      </c>
      <c r="D585">
        <v>1135.4000000000001</v>
      </c>
      <c r="E585">
        <v>2</v>
      </c>
    </row>
    <row r="586" spans="1:5" x14ac:dyDescent="0.25">
      <c r="A586" t="s">
        <v>1146</v>
      </c>
      <c r="B586" t="s">
        <v>1147</v>
      </c>
      <c r="C586">
        <v>4</v>
      </c>
      <c r="D586">
        <v>1135.4000000000001</v>
      </c>
      <c r="E586">
        <v>1</v>
      </c>
    </row>
    <row r="587" spans="1:5" x14ac:dyDescent="0.25">
      <c r="A587" t="s">
        <v>1148</v>
      </c>
      <c r="B587" t="s">
        <v>1149</v>
      </c>
      <c r="C587">
        <v>4</v>
      </c>
      <c r="D587">
        <v>1135.4000000000001</v>
      </c>
      <c r="E587">
        <v>2</v>
      </c>
    </row>
    <row r="588" spans="1:5" x14ac:dyDescent="0.25">
      <c r="A588" t="s">
        <v>1150</v>
      </c>
      <c r="B588" t="s">
        <v>1151</v>
      </c>
      <c r="C588">
        <v>4</v>
      </c>
      <c r="D588">
        <v>1135.4000000000001</v>
      </c>
      <c r="E588">
        <v>2</v>
      </c>
    </row>
    <row r="589" spans="1:5" x14ac:dyDescent="0.25">
      <c r="A589" t="s">
        <v>1152</v>
      </c>
      <c r="B589" t="s">
        <v>1153</v>
      </c>
      <c r="C589">
        <v>5</v>
      </c>
      <c r="D589">
        <v>1419.3</v>
      </c>
      <c r="E589">
        <v>11</v>
      </c>
    </row>
    <row r="590" spans="1:5" x14ac:dyDescent="0.25">
      <c r="A590" t="s">
        <v>1154</v>
      </c>
      <c r="B590" t="s">
        <v>1155</v>
      </c>
      <c r="C590">
        <v>3</v>
      </c>
      <c r="D590">
        <v>851.6</v>
      </c>
      <c r="E590">
        <v>11</v>
      </c>
    </row>
    <row r="591" spans="1:5" x14ac:dyDescent="0.25">
      <c r="A591" t="s">
        <v>1156</v>
      </c>
      <c r="B591" t="s">
        <v>1157</v>
      </c>
      <c r="C591">
        <v>5</v>
      </c>
      <c r="D591">
        <v>1419.3</v>
      </c>
      <c r="E591">
        <v>11</v>
      </c>
    </row>
    <row r="592" spans="1:5" x14ac:dyDescent="0.25">
      <c r="A592" t="s">
        <v>1158</v>
      </c>
      <c r="B592" t="s">
        <v>1159</v>
      </c>
      <c r="C592">
        <v>5</v>
      </c>
      <c r="D592">
        <v>1419.3</v>
      </c>
      <c r="E592">
        <v>11</v>
      </c>
    </row>
    <row r="593" spans="1:5" x14ac:dyDescent="0.25">
      <c r="A593" t="s">
        <v>1160</v>
      </c>
      <c r="B593" t="s">
        <v>1161</v>
      </c>
      <c r="C593">
        <v>5</v>
      </c>
      <c r="D593">
        <v>1419.3</v>
      </c>
      <c r="E593">
        <v>11</v>
      </c>
    </row>
    <row r="594" spans="1:5" x14ac:dyDescent="0.25">
      <c r="A594" t="s">
        <v>1162</v>
      </c>
      <c r="B594" t="s">
        <v>1163</v>
      </c>
      <c r="C594">
        <v>6</v>
      </c>
      <c r="D594">
        <v>1703.1</v>
      </c>
      <c r="E594">
        <v>11</v>
      </c>
    </row>
    <row r="595" spans="1:5" x14ac:dyDescent="0.25">
      <c r="A595" t="s">
        <v>1164</v>
      </c>
      <c r="B595" t="s">
        <v>1165</v>
      </c>
      <c r="C595">
        <v>5</v>
      </c>
      <c r="D595">
        <v>1419.3</v>
      </c>
      <c r="E595">
        <v>11</v>
      </c>
    </row>
    <row r="596" spans="1:5" x14ac:dyDescent="0.25">
      <c r="A596" t="s">
        <v>1166</v>
      </c>
      <c r="B596" t="s">
        <v>1167</v>
      </c>
      <c r="C596">
        <v>6</v>
      </c>
      <c r="D596">
        <v>1703.1</v>
      </c>
      <c r="E596">
        <v>11</v>
      </c>
    </row>
    <row r="597" spans="1:5" x14ac:dyDescent="0.25">
      <c r="A597" t="s">
        <v>1168</v>
      </c>
      <c r="B597" t="s">
        <v>1169</v>
      </c>
      <c r="C597">
        <v>6</v>
      </c>
      <c r="D597">
        <v>1703.1</v>
      </c>
      <c r="E597">
        <v>11</v>
      </c>
    </row>
    <row r="598" spans="1:5" x14ac:dyDescent="0.25">
      <c r="A598" t="s">
        <v>1170</v>
      </c>
      <c r="B598" t="s">
        <v>1171</v>
      </c>
      <c r="C598">
        <v>3</v>
      </c>
      <c r="D598">
        <v>851.6</v>
      </c>
      <c r="E598">
        <v>11</v>
      </c>
    </row>
    <row r="599" spans="1:5" x14ac:dyDescent="0.25">
      <c r="A599" t="s">
        <v>1172</v>
      </c>
      <c r="B599" t="s">
        <v>1173</v>
      </c>
      <c r="C599">
        <v>5</v>
      </c>
      <c r="D599">
        <v>1419.3</v>
      </c>
      <c r="E599">
        <v>11</v>
      </c>
    </row>
    <row r="600" spans="1:5" x14ac:dyDescent="0.25">
      <c r="A600" t="s">
        <v>1174</v>
      </c>
      <c r="B600" t="s">
        <v>1175</v>
      </c>
      <c r="C600">
        <v>5</v>
      </c>
      <c r="D600">
        <v>1419.3</v>
      </c>
      <c r="E600">
        <v>11</v>
      </c>
    </row>
    <row r="601" spans="1:5" x14ac:dyDescent="0.25">
      <c r="A601" t="s">
        <v>1176</v>
      </c>
      <c r="B601" t="s">
        <v>1177</v>
      </c>
      <c r="C601">
        <v>5</v>
      </c>
      <c r="D601">
        <v>1419.3</v>
      </c>
      <c r="E601">
        <v>6</v>
      </c>
    </row>
    <row r="602" spans="1:5" x14ac:dyDescent="0.25">
      <c r="A602" t="s">
        <v>1178</v>
      </c>
      <c r="B602" t="s">
        <v>1179</v>
      </c>
      <c r="C602">
        <v>5</v>
      </c>
      <c r="D602">
        <v>1419.3</v>
      </c>
      <c r="E602">
        <v>11</v>
      </c>
    </row>
    <row r="603" spans="1:5" x14ac:dyDescent="0.25">
      <c r="A603" t="s">
        <v>1180</v>
      </c>
      <c r="B603" t="s">
        <v>1181</v>
      </c>
      <c r="C603">
        <v>7</v>
      </c>
      <c r="D603">
        <v>1987</v>
      </c>
      <c r="E603">
        <v>11</v>
      </c>
    </row>
    <row r="604" spans="1:5" x14ac:dyDescent="0.25">
      <c r="A604" t="s">
        <v>1182</v>
      </c>
      <c r="B604" t="s">
        <v>1183</v>
      </c>
      <c r="C604">
        <v>5</v>
      </c>
      <c r="D604">
        <v>1419.3</v>
      </c>
      <c r="E604">
        <v>11</v>
      </c>
    </row>
    <row r="605" spans="1:5" x14ac:dyDescent="0.25">
      <c r="A605" t="s">
        <v>1184</v>
      </c>
      <c r="B605" t="s">
        <v>1185</v>
      </c>
      <c r="C605">
        <v>10</v>
      </c>
      <c r="D605">
        <v>2838.6</v>
      </c>
      <c r="E605">
        <v>11</v>
      </c>
    </row>
    <row r="606" spans="1:5" x14ac:dyDescent="0.25">
      <c r="A606" t="s">
        <v>1186</v>
      </c>
      <c r="B606" t="s">
        <v>1187</v>
      </c>
      <c r="C606">
        <v>10</v>
      </c>
      <c r="D606">
        <v>2838.6</v>
      </c>
      <c r="E606">
        <v>11</v>
      </c>
    </row>
    <row r="607" spans="1:5" x14ac:dyDescent="0.25">
      <c r="A607" t="s">
        <v>1188</v>
      </c>
      <c r="B607" t="s">
        <v>1189</v>
      </c>
      <c r="C607">
        <v>5</v>
      </c>
      <c r="D607">
        <v>1419.3</v>
      </c>
      <c r="E607">
        <v>11</v>
      </c>
    </row>
    <row r="608" spans="1:5" x14ac:dyDescent="0.25">
      <c r="A608" t="s">
        <v>1190</v>
      </c>
      <c r="B608" t="s">
        <v>1191</v>
      </c>
      <c r="C608">
        <v>5</v>
      </c>
      <c r="D608">
        <v>1419.3</v>
      </c>
      <c r="E608">
        <v>11</v>
      </c>
    </row>
    <row r="609" spans="1:5" x14ac:dyDescent="0.25">
      <c r="A609" t="s">
        <v>1192</v>
      </c>
      <c r="B609" t="s">
        <v>1193</v>
      </c>
      <c r="C609">
        <v>5</v>
      </c>
      <c r="D609">
        <v>1419.3</v>
      </c>
      <c r="E609">
        <v>11</v>
      </c>
    </row>
    <row r="610" spans="1:5" x14ac:dyDescent="0.25">
      <c r="A610" t="s">
        <v>1194</v>
      </c>
      <c r="B610" t="s">
        <v>1195</v>
      </c>
      <c r="C610">
        <v>5</v>
      </c>
      <c r="D610">
        <v>1419.3</v>
      </c>
      <c r="E610">
        <v>11</v>
      </c>
    </row>
    <row r="611" spans="1:5" x14ac:dyDescent="0.25">
      <c r="A611" t="s">
        <v>1196</v>
      </c>
      <c r="B611" t="s">
        <v>1197</v>
      </c>
      <c r="C611">
        <v>5</v>
      </c>
      <c r="D611">
        <v>1419.3</v>
      </c>
      <c r="E611">
        <v>11</v>
      </c>
    </row>
    <row r="612" spans="1:5" x14ac:dyDescent="0.25">
      <c r="A612" t="s">
        <v>1198</v>
      </c>
      <c r="B612" t="s">
        <v>1199</v>
      </c>
      <c r="C612">
        <v>5</v>
      </c>
      <c r="D612">
        <v>1419.3</v>
      </c>
      <c r="E612">
        <v>11</v>
      </c>
    </row>
    <row r="613" spans="1:5" x14ac:dyDescent="0.25">
      <c r="A613" t="s">
        <v>1200</v>
      </c>
      <c r="B613" t="s">
        <v>1201</v>
      </c>
      <c r="C613">
        <v>5</v>
      </c>
      <c r="D613">
        <v>1419.3</v>
      </c>
      <c r="E613">
        <v>11</v>
      </c>
    </row>
    <row r="614" spans="1:5" x14ac:dyDescent="0.25">
      <c r="A614" t="s">
        <v>1202</v>
      </c>
      <c r="B614" t="s">
        <v>1203</v>
      </c>
      <c r="C614">
        <v>5</v>
      </c>
      <c r="D614">
        <v>1419.3</v>
      </c>
      <c r="E614">
        <v>11</v>
      </c>
    </row>
    <row r="615" spans="1:5" x14ac:dyDescent="0.25">
      <c r="A615" t="s">
        <v>1204</v>
      </c>
      <c r="B615" t="s">
        <v>1205</v>
      </c>
      <c r="C615">
        <v>5</v>
      </c>
      <c r="D615">
        <v>1419.3</v>
      </c>
      <c r="E615">
        <v>11</v>
      </c>
    </row>
    <row r="616" spans="1:5" x14ac:dyDescent="0.25">
      <c r="A616" t="s">
        <v>1206</v>
      </c>
      <c r="B616" t="s">
        <v>1207</v>
      </c>
      <c r="C616">
        <v>5</v>
      </c>
      <c r="D616">
        <v>1419.3</v>
      </c>
      <c r="E616">
        <v>11</v>
      </c>
    </row>
    <row r="617" spans="1:5" x14ac:dyDescent="0.25">
      <c r="A617" t="s">
        <v>1208</v>
      </c>
      <c r="B617" t="s">
        <v>1209</v>
      </c>
      <c r="C617">
        <v>5</v>
      </c>
      <c r="D617">
        <v>1419.3</v>
      </c>
      <c r="E617">
        <v>11</v>
      </c>
    </row>
    <row r="618" spans="1:5" x14ac:dyDescent="0.25">
      <c r="A618" t="s">
        <v>1210</v>
      </c>
      <c r="B618" t="s">
        <v>1211</v>
      </c>
      <c r="C618">
        <v>5</v>
      </c>
      <c r="D618">
        <v>1419.3</v>
      </c>
      <c r="E618">
        <v>11</v>
      </c>
    </row>
    <row r="619" spans="1:5" x14ac:dyDescent="0.25">
      <c r="A619" t="s">
        <v>1212</v>
      </c>
      <c r="B619" t="s">
        <v>1213</v>
      </c>
      <c r="C619">
        <v>5</v>
      </c>
      <c r="D619">
        <v>1419.3</v>
      </c>
      <c r="E619">
        <v>11</v>
      </c>
    </row>
    <row r="620" spans="1:5" x14ac:dyDescent="0.25">
      <c r="A620" t="s">
        <v>1214</v>
      </c>
      <c r="B620" t="s">
        <v>1215</v>
      </c>
      <c r="C620">
        <v>5</v>
      </c>
      <c r="D620">
        <v>1419.3</v>
      </c>
      <c r="E620">
        <v>11</v>
      </c>
    </row>
    <row r="621" spans="1:5" x14ac:dyDescent="0.25">
      <c r="A621" t="s">
        <v>1216</v>
      </c>
      <c r="B621" t="s">
        <v>1217</v>
      </c>
      <c r="C621">
        <v>5</v>
      </c>
      <c r="D621">
        <v>1419.3</v>
      </c>
      <c r="E621">
        <v>11</v>
      </c>
    </row>
    <row r="622" spans="1:5" x14ac:dyDescent="0.25">
      <c r="A622" t="s">
        <v>1218</v>
      </c>
      <c r="B622" t="s">
        <v>1219</v>
      </c>
      <c r="C622">
        <v>5</v>
      </c>
      <c r="D622">
        <v>1419.3</v>
      </c>
      <c r="E622">
        <v>11</v>
      </c>
    </row>
    <row r="623" spans="1:5" x14ac:dyDescent="0.25">
      <c r="A623" t="s">
        <v>1220</v>
      </c>
      <c r="B623" t="s">
        <v>1221</v>
      </c>
      <c r="C623">
        <v>5</v>
      </c>
      <c r="D623">
        <v>1419.3</v>
      </c>
      <c r="E623">
        <v>11</v>
      </c>
    </row>
    <row r="624" spans="1:5" x14ac:dyDescent="0.25">
      <c r="A624" t="s">
        <v>1222</v>
      </c>
      <c r="B624" t="s">
        <v>1223</v>
      </c>
      <c r="C624">
        <v>5</v>
      </c>
      <c r="D624">
        <v>1419.3</v>
      </c>
      <c r="E624">
        <v>11</v>
      </c>
    </row>
    <row r="625" spans="1:5" x14ac:dyDescent="0.25">
      <c r="A625" t="s">
        <v>1224</v>
      </c>
      <c r="B625" t="s">
        <v>1225</v>
      </c>
      <c r="C625">
        <v>5</v>
      </c>
      <c r="D625">
        <v>1419.3</v>
      </c>
      <c r="E625">
        <v>11</v>
      </c>
    </row>
    <row r="626" spans="1:5" x14ac:dyDescent="0.25">
      <c r="A626" t="s">
        <v>1226</v>
      </c>
      <c r="B626" t="s">
        <v>1227</v>
      </c>
      <c r="C626">
        <v>5</v>
      </c>
      <c r="D626">
        <v>1419.3</v>
      </c>
      <c r="E626">
        <v>11</v>
      </c>
    </row>
    <row r="627" spans="1:5" x14ac:dyDescent="0.25">
      <c r="A627" t="s">
        <v>1228</v>
      </c>
      <c r="B627" t="s">
        <v>1229</v>
      </c>
      <c r="C627">
        <v>5</v>
      </c>
      <c r="D627">
        <v>1419.3</v>
      </c>
      <c r="E627">
        <v>2</v>
      </c>
    </row>
    <row r="628" spans="1:5" x14ac:dyDescent="0.25">
      <c r="A628" t="s">
        <v>1230</v>
      </c>
      <c r="B628" t="s">
        <v>1231</v>
      </c>
      <c r="C628">
        <v>5</v>
      </c>
      <c r="D628">
        <v>1419.3</v>
      </c>
      <c r="E628">
        <v>2</v>
      </c>
    </row>
    <row r="629" spans="1:5" x14ac:dyDescent="0.25">
      <c r="A629" t="s">
        <v>1232</v>
      </c>
      <c r="B629" t="s">
        <v>1233</v>
      </c>
      <c r="C629">
        <v>5</v>
      </c>
      <c r="D629">
        <v>1419.3</v>
      </c>
      <c r="E629">
        <v>2</v>
      </c>
    </row>
    <row r="630" spans="1:5" x14ac:dyDescent="0.25">
      <c r="A630" t="s">
        <v>1234</v>
      </c>
      <c r="B630" t="s">
        <v>1235</v>
      </c>
      <c r="C630">
        <v>5</v>
      </c>
      <c r="D630">
        <v>1419.3</v>
      </c>
      <c r="E630">
        <v>2</v>
      </c>
    </row>
    <row r="631" spans="1:5" x14ac:dyDescent="0.25">
      <c r="A631" t="s">
        <v>1236</v>
      </c>
      <c r="B631" t="s">
        <v>1237</v>
      </c>
      <c r="C631">
        <v>5</v>
      </c>
      <c r="D631">
        <v>1419.3</v>
      </c>
      <c r="E631">
        <v>11</v>
      </c>
    </row>
    <row r="632" spans="1:5" x14ac:dyDescent="0.25">
      <c r="A632" t="s">
        <v>1238</v>
      </c>
      <c r="B632" t="s">
        <v>1239</v>
      </c>
      <c r="C632">
        <v>5</v>
      </c>
      <c r="D632">
        <v>1419.3</v>
      </c>
      <c r="E632">
        <v>11</v>
      </c>
    </row>
    <row r="633" spans="1:5" x14ac:dyDescent="0.25">
      <c r="A633" t="s">
        <v>1240</v>
      </c>
      <c r="B633" t="s">
        <v>1241</v>
      </c>
      <c r="C633">
        <v>3</v>
      </c>
      <c r="D633">
        <v>851.6</v>
      </c>
      <c r="E633">
        <v>11</v>
      </c>
    </row>
    <row r="634" spans="1:5" x14ac:dyDescent="0.25">
      <c r="A634" t="s">
        <v>1242</v>
      </c>
      <c r="B634" t="s">
        <v>1243</v>
      </c>
      <c r="C634">
        <v>3</v>
      </c>
      <c r="D634">
        <v>851.6</v>
      </c>
      <c r="E634">
        <v>11</v>
      </c>
    </row>
    <row r="635" spans="1:5" x14ac:dyDescent="0.25">
      <c r="A635" t="s">
        <v>1244</v>
      </c>
      <c r="B635" t="s">
        <v>1245</v>
      </c>
      <c r="C635">
        <v>3</v>
      </c>
      <c r="D635">
        <v>851.6</v>
      </c>
      <c r="E635">
        <v>11</v>
      </c>
    </row>
    <row r="636" spans="1:5" x14ac:dyDescent="0.25">
      <c r="A636" t="s">
        <v>1246</v>
      </c>
      <c r="B636" t="s">
        <v>1247</v>
      </c>
      <c r="C636">
        <v>3</v>
      </c>
      <c r="D636">
        <v>851.6</v>
      </c>
      <c r="E636">
        <v>11</v>
      </c>
    </row>
    <row r="637" spans="1:5" x14ac:dyDescent="0.25">
      <c r="A637" t="s">
        <v>1248</v>
      </c>
      <c r="B637" t="s">
        <v>1249</v>
      </c>
      <c r="C637">
        <v>3</v>
      </c>
      <c r="D637">
        <v>851.6</v>
      </c>
      <c r="E637">
        <v>11</v>
      </c>
    </row>
    <row r="638" spans="1:5" x14ac:dyDescent="0.25">
      <c r="A638" t="s">
        <v>1250</v>
      </c>
      <c r="B638" t="s">
        <v>1251</v>
      </c>
      <c r="C638">
        <v>3</v>
      </c>
      <c r="D638">
        <v>851.6</v>
      </c>
      <c r="E638">
        <v>11</v>
      </c>
    </row>
    <row r="639" spans="1:5" x14ac:dyDescent="0.25">
      <c r="A639" t="s">
        <v>1252</v>
      </c>
      <c r="B639" t="s">
        <v>1253</v>
      </c>
      <c r="C639">
        <v>3</v>
      </c>
      <c r="D639">
        <v>851.6</v>
      </c>
      <c r="E639">
        <v>11</v>
      </c>
    </row>
    <row r="640" spans="1:5" x14ac:dyDescent="0.25">
      <c r="A640" t="s">
        <v>1254</v>
      </c>
      <c r="B640" t="s">
        <v>1255</v>
      </c>
      <c r="C640">
        <v>3</v>
      </c>
      <c r="D640">
        <v>851.6</v>
      </c>
      <c r="E640">
        <v>11</v>
      </c>
    </row>
    <row r="641" spans="1:5" x14ac:dyDescent="0.25">
      <c r="A641" t="s">
        <v>1256</v>
      </c>
      <c r="B641" t="s">
        <v>1257</v>
      </c>
      <c r="C641">
        <v>3</v>
      </c>
      <c r="D641">
        <v>851.6</v>
      </c>
      <c r="E641">
        <v>11</v>
      </c>
    </row>
    <row r="642" spans="1:5" x14ac:dyDescent="0.25">
      <c r="A642" t="s">
        <v>1258</v>
      </c>
      <c r="B642" t="s">
        <v>1259</v>
      </c>
      <c r="C642">
        <v>3</v>
      </c>
      <c r="D642">
        <v>851.6</v>
      </c>
      <c r="E642">
        <v>10</v>
      </c>
    </row>
    <row r="643" spans="1:5" x14ac:dyDescent="0.25">
      <c r="A643" t="s">
        <v>1260</v>
      </c>
      <c r="B643" t="s">
        <v>1261</v>
      </c>
      <c r="C643">
        <v>3</v>
      </c>
      <c r="D643">
        <v>851.6</v>
      </c>
      <c r="E643">
        <v>11</v>
      </c>
    </row>
    <row r="644" spans="1:5" x14ac:dyDescent="0.25">
      <c r="A644" t="s">
        <v>1262</v>
      </c>
      <c r="B644" t="s">
        <v>1263</v>
      </c>
      <c r="C644">
        <v>3</v>
      </c>
      <c r="D644">
        <v>851.6</v>
      </c>
      <c r="E644">
        <v>11</v>
      </c>
    </row>
    <row r="645" spans="1:5" x14ac:dyDescent="0.25">
      <c r="A645" t="s">
        <v>1264</v>
      </c>
      <c r="B645" t="s">
        <v>1265</v>
      </c>
      <c r="C645">
        <v>3</v>
      </c>
      <c r="D645">
        <v>851.6</v>
      </c>
      <c r="E645">
        <v>11</v>
      </c>
    </row>
    <row r="646" spans="1:5" x14ac:dyDescent="0.25">
      <c r="A646" t="s">
        <v>1266</v>
      </c>
      <c r="B646" t="s">
        <v>1267</v>
      </c>
      <c r="C646">
        <v>3</v>
      </c>
      <c r="D646">
        <v>851.6</v>
      </c>
      <c r="E646">
        <v>11</v>
      </c>
    </row>
    <row r="647" spans="1:5" x14ac:dyDescent="0.25">
      <c r="A647" t="s">
        <v>1268</v>
      </c>
      <c r="B647" t="s">
        <v>1269</v>
      </c>
      <c r="C647">
        <v>3</v>
      </c>
      <c r="D647">
        <v>851.6</v>
      </c>
      <c r="E647">
        <v>11</v>
      </c>
    </row>
    <row r="648" spans="1:5" x14ac:dyDescent="0.25">
      <c r="A648" t="s">
        <v>1270</v>
      </c>
      <c r="B648" t="s">
        <v>1271</v>
      </c>
      <c r="C648">
        <v>3</v>
      </c>
      <c r="D648">
        <v>851.6</v>
      </c>
      <c r="E648">
        <v>11</v>
      </c>
    </row>
    <row r="649" spans="1:5" x14ac:dyDescent="0.25">
      <c r="A649" t="s">
        <v>1272</v>
      </c>
      <c r="B649" t="s">
        <v>1273</v>
      </c>
      <c r="C649">
        <v>5</v>
      </c>
      <c r="D649">
        <v>1419.3</v>
      </c>
      <c r="E649">
        <v>11</v>
      </c>
    </row>
    <row r="650" spans="1:5" x14ac:dyDescent="0.25">
      <c r="A650" t="s">
        <v>1274</v>
      </c>
      <c r="B650" t="s">
        <v>1275</v>
      </c>
      <c r="C650">
        <v>5</v>
      </c>
      <c r="D650">
        <v>1419.3</v>
      </c>
      <c r="E650">
        <v>11</v>
      </c>
    </row>
    <row r="651" spans="1:5" x14ac:dyDescent="0.25">
      <c r="A651" t="s">
        <v>1276</v>
      </c>
      <c r="B651" t="s">
        <v>1277</v>
      </c>
      <c r="C651">
        <v>5</v>
      </c>
      <c r="D651">
        <v>1419.3</v>
      </c>
      <c r="E651">
        <v>11</v>
      </c>
    </row>
    <row r="652" spans="1:5" x14ac:dyDescent="0.25">
      <c r="A652" t="s">
        <v>1278</v>
      </c>
      <c r="B652" t="s">
        <v>1279</v>
      </c>
      <c r="C652">
        <v>5</v>
      </c>
      <c r="D652">
        <v>1419.3</v>
      </c>
      <c r="E652">
        <v>11</v>
      </c>
    </row>
    <row r="653" spans="1:5" x14ac:dyDescent="0.25">
      <c r="A653" t="s">
        <v>1280</v>
      </c>
      <c r="B653" t="s">
        <v>1281</v>
      </c>
      <c r="C653">
        <v>3</v>
      </c>
      <c r="D653">
        <v>851.6</v>
      </c>
      <c r="E653">
        <v>11</v>
      </c>
    </row>
    <row r="654" spans="1:5" x14ac:dyDescent="0.25">
      <c r="A654" t="s">
        <v>1282</v>
      </c>
      <c r="B654" t="s">
        <v>1283</v>
      </c>
      <c r="C654">
        <v>3</v>
      </c>
      <c r="D654">
        <v>851.6</v>
      </c>
      <c r="E654">
        <v>11</v>
      </c>
    </row>
    <row r="655" spans="1:5" x14ac:dyDescent="0.25">
      <c r="A655" t="s">
        <v>1284</v>
      </c>
      <c r="B655" t="s">
        <v>1285</v>
      </c>
      <c r="C655">
        <v>3</v>
      </c>
      <c r="D655">
        <v>851.6</v>
      </c>
      <c r="E655">
        <v>11</v>
      </c>
    </row>
    <row r="656" spans="1:5" x14ac:dyDescent="0.25">
      <c r="A656" t="s">
        <v>1286</v>
      </c>
      <c r="B656" t="s">
        <v>1287</v>
      </c>
      <c r="C656">
        <v>8</v>
      </c>
      <c r="D656">
        <v>2270.8000000000002</v>
      </c>
      <c r="E656">
        <v>11</v>
      </c>
    </row>
    <row r="657" spans="1:5" x14ac:dyDescent="0.25">
      <c r="A657" t="s">
        <v>1288</v>
      </c>
      <c r="B657" t="s">
        <v>1289</v>
      </c>
      <c r="C657">
        <v>8</v>
      </c>
      <c r="D657">
        <v>2270.8000000000002</v>
      </c>
      <c r="E657">
        <v>11</v>
      </c>
    </row>
    <row r="658" spans="1:5" x14ac:dyDescent="0.25">
      <c r="A658" t="s">
        <v>1290</v>
      </c>
      <c r="B658" t="s">
        <v>1291</v>
      </c>
      <c r="C658">
        <v>8</v>
      </c>
      <c r="D658">
        <v>2270.8000000000002</v>
      </c>
      <c r="E658">
        <v>2</v>
      </c>
    </row>
    <row r="659" spans="1:5" x14ac:dyDescent="0.25">
      <c r="A659" t="s">
        <v>1292</v>
      </c>
      <c r="B659" t="s">
        <v>1293</v>
      </c>
      <c r="C659">
        <v>8</v>
      </c>
      <c r="D659">
        <v>2270.8000000000002</v>
      </c>
      <c r="E659">
        <v>11</v>
      </c>
    </row>
    <row r="660" spans="1:5" x14ac:dyDescent="0.25">
      <c r="A660" t="s">
        <v>1294</v>
      </c>
      <c r="B660" t="s">
        <v>1295</v>
      </c>
      <c r="C660">
        <v>6</v>
      </c>
      <c r="D660">
        <v>1703.1</v>
      </c>
      <c r="E660">
        <v>11</v>
      </c>
    </row>
    <row r="661" spans="1:5" x14ac:dyDescent="0.25">
      <c r="A661" t="s">
        <v>1296</v>
      </c>
      <c r="B661" t="s">
        <v>1297</v>
      </c>
      <c r="C661">
        <v>8</v>
      </c>
      <c r="D661">
        <v>2270.8000000000002</v>
      </c>
      <c r="E661">
        <v>11</v>
      </c>
    </row>
    <row r="662" spans="1:5" x14ac:dyDescent="0.25">
      <c r="A662" t="s">
        <v>1298</v>
      </c>
      <c r="B662" t="s">
        <v>1299</v>
      </c>
      <c r="C662">
        <v>8</v>
      </c>
      <c r="D662">
        <v>2270.8000000000002</v>
      </c>
      <c r="E662">
        <v>2</v>
      </c>
    </row>
    <row r="663" spans="1:5" x14ac:dyDescent="0.25">
      <c r="A663" t="s">
        <v>1300</v>
      </c>
      <c r="B663" t="s">
        <v>1301</v>
      </c>
      <c r="C663">
        <v>6</v>
      </c>
      <c r="D663">
        <v>1703.1</v>
      </c>
      <c r="E663">
        <v>11</v>
      </c>
    </row>
    <row r="664" spans="1:5" x14ac:dyDescent="0.25">
      <c r="A664" t="s">
        <v>1302</v>
      </c>
      <c r="B664" t="s">
        <v>1303</v>
      </c>
      <c r="C664">
        <v>8</v>
      </c>
      <c r="D664">
        <v>2270.8000000000002</v>
      </c>
      <c r="E664">
        <v>11</v>
      </c>
    </row>
    <row r="665" spans="1:5" x14ac:dyDescent="0.25">
      <c r="A665" t="s">
        <v>1304</v>
      </c>
      <c r="B665" t="s">
        <v>1305</v>
      </c>
      <c r="C665">
        <v>5</v>
      </c>
      <c r="D665">
        <v>1419.3</v>
      </c>
      <c r="E665">
        <v>11</v>
      </c>
    </row>
    <row r="666" spans="1:5" x14ac:dyDescent="0.25">
      <c r="A666" t="s">
        <v>1306</v>
      </c>
      <c r="B666" t="s">
        <v>1307</v>
      </c>
      <c r="C666">
        <v>5</v>
      </c>
      <c r="D666">
        <v>1419.3</v>
      </c>
      <c r="E666">
        <v>6</v>
      </c>
    </row>
    <row r="667" spans="1:5" x14ac:dyDescent="0.25">
      <c r="A667" t="s">
        <v>1308</v>
      </c>
      <c r="B667" t="s">
        <v>1309</v>
      </c>
      <c r="C667">
        <v>5</v>
      </c>
      <c r="D667">
        <v>1419.3</v>
      </c>
      <c r="E667">
        <v>6</v>
      </c>
    </row>
    <row r="668" spans="1:5" x14ac:dyDescent="0.25">
      <c r="A668" t="s">
        <v>1310</v>
      </c>
      <c r="B668" t="s">
        <v>1311</v>
      </c>
      <c r="C668">
        <v>5</v>
      </c>
      <c r="D668">
        <v>1419.3</v>
      </c>
      <c r="E668">
        <v>11</v>
      </c>
    </row>
    <row r="669" spans="1:5" x14ac:dyDescent="0.25">
      <c r="A669" t="s">
        <v>1312</v>
      </c>
      <c r="B669" t="s">
        <v>1313</v>
      </c>
      <c r="C669">
        <v>5</v>
      </c>
      <c r="D669">
        <v>1419.3</v>
      </c>
      <c r="E669">
        <v>11</v>
      </c>
    </row>
    <row r="670" spans="1:5" x14ac:dyDescent="0.25">
      <c r="A670" t="s">
        <v>1314</v>
      </c>
      <c r="B670" t="s">
        <v>1315</v>
      </c>
      <c r="C670">
        <v>5</v>
      </c>
      <c r="D670">
        <v>1419.3</v>
      </c>
      <c r="E670">
        <v>11</v>
      </c>
    </row>
    <row r="671" spans="1:5" x14ac:dyDescent="0.25">
      <c r="A671" t="s">
        <v>1316</v>
      </c>
      <c r="B671" t="s">
        <v>1317</v>
      </c>
      <c r="C671">
        <v>8</v>
      </c>
      <c r="D671">
        <v>2270.8000000000002</v>
      </c>
      <c r="E671">
        <v>6</v>
      </c>
    </row>
    <row r="672" spans="1:5" x14ac:dyDescent="0.25">
      <c r="A672" t="s">
        <v>1318</v>
      </c>
      <c r="B672" t="s">
        <v>1317</v>
      </c>
      <c r="C672">
        <v>8</v>
      </c>
      <c r="D672">
        <v>2270.8000000000002</v>
      </c>
      <c r="E672">
        <v>6</v>
      </c>
    </row>
    <row r="673" spans="1:5" x14ac:dyDescent="0.25">
      <c r="A673" t="s">
        <v>1319</v>
      </c>
      <c r="B673" t="s">
        <v>1320</v>
      </c>
      <c r="C673">
        <v>5</v>
      </c>
      <c r="D673">
        <v>1419.3</v>
      </c>
      <c r="E673">
        <v>11</v>
      </c>
    </row>
    <row r="674" spans="1:5" x14ac:dyDescent="0.25">
      <c r="A674" t="s">
        <v>1321</v>
      </c>
      <c r="B674" t="s">
        <v>1322</v>
      </c>
      <c r="C674">
        <v>6</v>
      </c>
      <c r="D674">
        <v>1703.1</v>
      </c>
      <c r="E674">
        <v>11</v>
      </c>
    </row>
    <row r="675" spans="1:5" x14ac:dyDescent="0.25">
      <c r="A675" t="s">
        <v>1323</v>
      </c>
      <c r="B675" t="s">
        <v>1324</v>
      </c>
      <c r="C675">
        <v>5</v>
      </c>
      <c r="D675">
        <v>1419.3</v>
      </c>
      <c r="E675">
        <v>2</v>
      </c>
    </row>
    <row r="676" spans="1:5" x14ac:dyDescent="0.25">
      <c r="A676" t="s">
        <v>1325</v>
      </c>
      <c r="B676" t="s">
        <v>1326</v>
      </c>
      <c r="C676">
        <v>3</v>
      </c>
      <c r="D676">
        <v>851.6</v>
      </c>
      <c r="E676">
        <v>11</v>
      </c>
    </row>
    <row r="677" spans="1:5" x14ac:dyDescent="0.25">
      <c r="A677" t="s">
        <v>1327</v>
      </c>
      <c r="B677" t="s">
        <v>1328</v>
      </c>
      <c r="C677">
        <v>4</v>
      </c>
      <c r="D677">
        <v>1135.4000000000001</v>
      </c>
      <c r="E677">
        <v>11</v>
      </c>
    </row>
    <row r="678" spans="1:5" x14ac:dyDescent="0.25">
      <c r="A678" t="s">
        <v>1329</v>
      </c>
      <c r="B678" t="s">
        <v>1330</v>
      </c>
      <c r="C678">
        <v>3</v>
      </c>
      <c r="D678">
        <v>851.6</v>
      </c>
      <c r="E678">
        <v>11</v>
      </c>
    </row>
    <row r="679" spans="1:5" x14ac:dyDescent="0.25">
      <c r="A679" t="s">
        <v>1331</v>
      </c>
      <c r="B679" t="s">
        <v>1332</v>
      </c>
      <c r="C679">
        <v>5</v>
      </c>
      <c r="D679">
        <v>1419.3</v>
      </c>
      <c r="E679">
        <v>11</v>
      </c>
    </row>
    <row r="680" spans="1:5" x14ac:dyDescent="0.25">
      <c r="A680" t="s">
        <v>1333</v>
      </c>
      <c r="B680" t="s">
        <v>1334</v>
      </c>
      <c r="C680">
        <v>5</v>
      </c>
      <c r="D680">
        <v>1419.3</v>
      </c>
      <c r="E680">
        <v>11</v>
      </c>
    </row>
    <row r="681" spans="1:5" x14ac:dyDescent="0.25">
      <c r="A681" t="s">
        <v>1335</v>
      </c>
      <c r="B681" t="s">
        <v>1336</v>
      </c>
      <c r="C681">
        <v>3</v>
      </c>
      <c r="D681">
        <v>851.6</v>
      </c>
      <c r="E681">
        <v>11</v>
      </c>
    </row>
    <row r="682" spans="1:5" x14ac:dyDescent="0.25">
      <c r="A682" t="s">
        <v>1337</v>
      </c>
      <c r="B682" t="s">
        <v>1338</v>
      </c>
      <c r="C682">
        <v>3</v>
      </c>
      <c r="D682">
        <v>851.6</v>
      </c>
      <c r="E682">
        <v>11</v>
      </c>
    </row>
    <row r="683" spans="1:5" x14ac:dyDescent="0.25">
      <c r="A683" t="s">
        <v>1339</v>
      </c>
      <c r="B683" t="s">
        <v>1340</v>
      </c>
      <c r="C683">
        <v>3</v>
      </c>
      <c r="D683">
        <v>851.6</v>
      </c>
      <c r="E683">
        <v>11</v>
      </c>
    </row>
    <row r="684" spans="1:5" x14ac:dyDescent="0.25">
      <c r="A684" t="s">
        <v>1341</v>
      </c>
      <c r="B684" t="s">
        <v>1342</v>
      </c>
      <c r="C684">
        <v>3</v>
      </c>
      <c r="D684">
        <v>851.6</v>
      </c>
      <c r="E684">
        <v>11</v>
      </c>
    </row>
    <row r="685" spans="1:5" x14ac:dyDescent="0.25">
      <c r="A685" t="s">
        <v>1343</v>
      </c>
      <c r="B685" t="s">
        <v>1344</v>
      </c>
      <c r="C685">
        <v>3</v>
      </c>
      <c r="D685">
        <v>851.6</v>
      </c>
      <c r="E685">
        <v>11</v>
      </c>
    </row>
    <row r="686" spans="1:5" x14ac:dyDescent="0.25">
      <c r="A686" t="s">
        <v>1345</v>
      </c>
      <c r="B686" t="s">
        <v>1346</v>
      </c>
      <c r="C686">
        <v>3</v>
      </c>
      <c r="D686">
        <v>851.6</v>
      </c>
      <c r="E686">
        <v>11</v>
      </c>
    </row>
    <row r="687" spans="1:5" x14ac:dyDescent="0.25">
      <c r="A687" t="s">
        <v>1347</v>
      </c>
      <c r="B687" t="s">
        <v>1348</v>
      </c>
      <c r="C687">
        <v>4</v>
      </c>
      <c r="D687">
        <v>1135.4000000000001</v>
      </c>
      <c r="E687">
        <v>11</v>
      </c>
    </row>
    <row r="688" spans="1:5" x14ac:dyDescent="0.25">
      <c r="A688" t="s">
        <v>1349</v>
      </c>
      <c r="B688" t="s">
        <v>1350</v>
      </c>
      <c r="C688">
        <v>3</v>
      </c>
      <c r="D688">
        <v>851.6</v>
      </c>
      <c r="E688">
        <v>11</v>
      </c>
    </row>
    <row r="689" spans="1:5" x14ac:dyDescent="0.25">
      <c r="A689" t="s">
        <v>1351</v>
      </c>
      <c r="B689" t="s">
        <v>1352</v>
      </c>
      <c r="C689">
        <v>4</v>
      </c>
      <c r="D689">
        <v>1135.4000000000001</v>
      </c>
      <c r="E689">
        <v>11</v>
      </c>
    </row>
    <row r="690" spans="1:5" x14ac:dyDescent="0.25">
      <c r="A690" t="s">
        <v>1353</v>
      </c>
      <c r="B690" t="s">
        <v>1354</v>
      </c>
      <c r="C690">
        <v>4</v>
      </c>
      <c r="D690">
        <v>1135.4000000000001</v>
      </c>
      <c r="E690">
        <v>11</v>
      </c>
    </row>
    <row r="691" spans="1:5" x14ac:dyDescent="0.25">
      <c r="A691" t="s">
        <v>1355</v>
      </c>
      <c r="B691" t="s">
        <v>1356</v>
      </c>
      <c r="C691">
        <v>4</v>
      </c>
      <c r="D691">
        <v>1135.4000000000001</v>
      </c>
      <c r="E691">
        <v>11</v>
      </c>
    </row>
    <row r="692" spans="1:5" x14ac:dyDescent="0.25">
      <c r="A692" t="s">
        <v>1357</v>
      </c>
      <c r="B692" t="s">
        <v>1358</v>
      </c>
      <c r="C692">
        <v>4</v>
      </c>
      <c r="D692">
        <v>1135.4000000000001</v>
      </c>
      <c r="E692">
        <v>11</v>
      </c>
    </row>
    <row r="693" spans="1:5" x14ac:dyDescent="0.25">
      <c r="A693" t="s">
        <v>1359</v>
      </c>
      <c r="B693" t="s">
        <v>1360</v>
      </c>
      <c r="C693">
        <v>6</v>
      </c>
      <c r="D693">
        <v>1703.1</v>
      </c>
      <c r="E693">
        <v>11</v>
      </c>
    </row>
    <row r="694" spans="1:5" x14ac:dyDescent="0.25">
      <c r="A694" t="s">
        <v>1361</v>
      </c>
      <c r="B694" t="s">
        <v>1362</v>
      </c>
      <c r="C694">
        <v>6</v>
      </c>
      <c r="D694">
        <v>1703.1</v>
      </c>
      <c r="E694">
        <v>11</v>
      </c>
    </row>
    <row r="695" spans="1:5" x14ac:dyDescent="0.25">
      <c r="A695" t="s">
        <v>1363</v>
      </c>
      <c r="B695" t="s">
        <v>1364</v>
      </c>
      <c r="C695">
        <v>6</v>
      </c>
      <c r="D695">
        <v>1703.1</v>
      </c>
      <c r="E695">
        <v>11</v>
      </c>
    </row>
    <row r="696" spans="1:5" x14ac:dyDescent="0.25">
      <c r="A696" t="s">
        <v>1365</v>
      </c>
      <c r="B696" t="s">
        <v>1366</v>
      </c>
      <c r="C696">
        <v>4</v>
      </c>
      <c r="D696">
        <v>1135.4000000000001</v>
      </c>
      <c r="E696">
        <v>11</v>
      </c>
    </row>
    <row r="697" spans="1:5" x14ac:dyDescent="0.25">
      <c r="A697" t="s">
        <v>1367</v>
      </c>
      <c r="B697" t="s">
        <v>1368</v>
      </c>
      <c r="C697">
        <v>3</v>
      </c>
      <c r="D697">
        <v>851.6</v>
      </c>
      <c r="E697">
        <v>11</v>
      </c>
    </row>
    <row r="698" spans="1:5" x14ac:dyDescent="0.25">
      <c r="A698" t="s">
        <v>1369</v>
      </c>
      <c r="B698" t="s">
        <v>1370</v>
      </c>
      <c r="C698">
        <v>4</v>
      </c>
      <c r="D698">
        <v>1135.4000000000001</v>
      </c>
      <c r="E698">
        <v>11</v>
      </c>
    </row>
    <row r="699" spans="1:5" x14ac:dyDescent="0.25">
      <c r="A699" t="s">
        <v>1371</v>
      </c>
      <c r="B699" t="s">
        <v>1372</v>
      </c>
      <c r="C699">
        <v>5</v>
      </c>
      <c r="D699">
        <v>1419.3</v>
      </c>
      <c r="E699">
        <v>11</v>
      </c>
    </row>
    <row r="700" spans="1:5" x14ac:dyDescent="0.25">
      <c r="A700" t="s">
        <v>1373</v>
      </c>
      <c r="B700" t="s">
        <v>1374</v>
      </c>
      <c r="C700">
        <v>5</v>
      </c>
      <c r="D700">
        <v>1419.3</v>
      </c>
      <c r="E700">
        <v>11</v>
      </c>
    </row>
    <row r="701" spans="1:5" x14ac:dyDescent="0.25">
      <c r="A701" t="s">
        <v>1375</v>
      </c>
      <c r="B701" t="s">
        <v>1376</v>
      </c>
      <c r="C701">
        <v>3</v>
      </c>
      <c r="D701">
        <v>851.6</v>
      </c>
      <c r="E701">
        <v>1</v>
      </c>
    </row>
    <row r="702" spans="1:5" x14ac:dyDescent="0.25">
      <c r="A702" t="s">
        <v>1377</v>
      </c>
      <c r="B702" t="s">
        <v>1378</v>
      </c>
      <c r="C702">
        <v>3</v>
      </c>
      <c r="D702">
        <v>851.6</v>
      </c>
      <c r="E702">
        <v>11</v>
      </c>
    </row>
    <row r="703" spans="1:5" x14ac:dyDescent="0.25">
      <c r="A703" t="s">
        <v>1379</v>
      </c>
      <c r="B703" t="s">
        <v>1380</v>
      </c>
      <c r="C703">
        <v>3</v>
      </c>
      <c r="D703">
        <v>851.6</v>
      </c>
      <c r="E703">
        <v>11</v>
      </c>
    </row>
    <row r="704" spans="1:5" x14ac:dyDescent="0.25">
      <c r="A704" t="s">
        <v>1381</v>
      </c>
      <c r="B704" t="s">
        <v>1382</v>
      </c>
      <c r="C704">
        <v>3</v>
      </c>
      <c r="D704">
        <v>851.6</v>
      </c>
      <c r="E704">
        <v>11</v>
      </c>
    </row>
    <row r="705" spans="1:5" x14ac:dyDescent="0.25">
      <c r="A705" t="s">
        <v>1383</v>
      </c>
      <c r="B705" t="s">
        <v>1384</v>
      </c>
      <c r="C705">
        <v>3</v>
      </c>
      <c r="D705">
        <v>851.6</v>
      </c>
      <c r="E705">
        <v>11</v>
      </c>
    </row>
    <row r="706" spans="1:5" x14ac:dyDescent="0.25">
      <c r="A706" t="s">
        <v>1385</v>
      </c>
      <c r="B706" t="s">
        <v>1386</v>
      </c>
      <c r="C706">
        <v>5</v>
      </c>
      <c r="D706">
        <v>1419.3</v>
      </c>
      <c r="E706">
        <v>11</v>
      </c>
    </row>
    <row r="707" spans="1:5" x14ac:dyDescent="0.25">
      <c r="A707" t="s">
        <v>1387</v>
      </c>
      <c r="B707" t="s">
        <v>1388</v>
      </c>
      <c r="C707">
        <v>3</v>
      </c>
      <c r="D707">
        <v>851.6</v>
      </c>
      <c r="E707">
        <v>11</v>
      </c>
    </row>
    <row r="708" spans="1:5" x14ac:dyDescent="0.25">
      <c r="A708" t="s">
        <v>1389</v>
      </c>
      <c r="B708" t="s">
        <v>1390</v>
      </c>
      <c r="C708">
        <v>5</v>
      </c>
      <c r="D708">
        <v>1419.3</v>
      </c>
      <c r="E708">
        <v>6</v>
      </c>
    </row>
    <row r="709" spans="1:5" x14ac:dyDescent="0.25">
      <c r="A709" t="s">
        <v>1391</v>
      </c>
      <c r="B709" t="s">
        <v>1392</v>
      </c>
      <c r="C709">
        <v>3</v>
      </c>
      <c r="D709">
        <v>851.6</v>
      </c>
      <c r="E709">
        <v>11</v>
      </c>
    </row>
    <row r="710" spans="1:5" x14ac:dyDescent="0.25">
      <c r="A710" t="s">
        <v>1393</v>
      </c>
      <c r="B710" t="s">
        <v>1394</v>
      </c>
      <c r="C710">
        <v>3</v>
      </c>
      <c r="D710">
        <v>851.6</v>
      </c>
      <c r="E710">
        <v>12</v>
      </c>
    </row>
    <row r="711" spans="1:5" x14ac:dyDescent="0.25">
      <c r="A711" t="s">
        <v>1395</v>
      </c>
      <c r="B711" t="s">
        <v>1396</v>
      </c>
      <c r="C711">
        <v>3</v>
      </c>
      <c r="D711">
        <v>851.6</v>
      </c>
      <c r="E711">
        <v>11</v>
      </c>
    </row>
    <row r="712" spans="1:5" x14ac:dyDescent="0.25">
      <c r="A712" t="s">
        <v>1397</v>
      </c>
      <c r="B712" t="s">
        <v>1398</v>
      </c>
      <c r="C712">
        <v>3</v>
      </c>
      <c r="D712">
        <v>851.6</v>
      </c>
      <c r="E712">
        <v>11</v>
      </c>
    </row>
    <row r="713" spans="1:5" x14ac:dyDescent="0.25">
      <c r="A713" t="s">
        <v>1399</v>
      </c>
      <c r="B713" t="s">
        <v>1400</v>
      </c>
      <c r="C713">
        <v>3</v>
      </c>
      <c r="D713">
        <v>851.6</v>
      </c>
      <c r="E713">
        <v>11</v>
      </c>
    </row>
    <row r="714" spans="1:5" x14ac:dyDescent="0.25">
      <c r="A714" t="s">
        <v>1401</v>
      </c>
      <c r="B714" t="s">
        <v>1402</v>
      </c>
      <c r="C714">
        <v>3</v>
      </c>
      <c r="D714">
        <v>851.6</v>
      </c>
      <c r="E714">
        <v>11</v>
      </c>
    </row>
    <row r="715" spans="1:5" x14ac:dyDescent="0.25">
      <c r="A715" t="s">
        <v>1403</v>
      </c>
      <c r="B715" t="s">
        <v>1404</v>
      </c>
      <c r="C715">
        <v>3</v>
      </c>
      <c r="D715">
        <v>851.6</v>
      </c>
      <c r="E715">
        <v>11</v>
      </c>
    </row>
    <row r="716" spans="1:5" x14ac:dyDescent="0.25">
      <c r="A716" t="s">
        <v>1405</v>
      </c>
      <c r="B716" t="s">
        <v>1406</v>
      </c>
      <c r="C716">
        <v>3</v>
      </c>
      <c r="D716">
        <v>851.6</v>
      </c>
      <c r="E716">
        <v>11</v>
      </c>
    </row>
    <row r="717" spans="1:5" x14ac:dyDescent="0.25">
      <c r="A717" t="s">
        <v>1407</v>
      </c>
      <c r="B717" t="s">
        <v>1408</v>
      </c>
      <c r="C717">
        <v>3</v>
      </c>
      <c r="D717">
        <v>851.6</v>
      </c>
      <c r="E717">
        <v>8</v>
      </c>
    </row>
    <row r="718" spans="1:5" x14ac:dyDescent="0.25">
      <c r="A718" t="s">
        <v>1409</v>
      </c>
      <c r="B718" t="s">
        <v>1410</v>
      </c>
      <c r="C718">
        <v>3</v>
      </c>
      <c r="D718">
        <v>851.6</v>
      </c>
      <c r="E718">
        <v>11</v>
      </c>
    </row>
    <row r="719" spans="1:5" x14ac:dyDescent="0.25">
      <c r="A719" t="s">
        <v>1411</v>
      </c>
      <c r="B719" t="s">
        <v>1412</v>
      </c>
      <c r="C719">
        <v>3</v>
      </c>
      <c r="D719">
        <v>851.6</v>
      </c>
      <c r="E719">
        <v>11</v>
      </c>
    </row>
    <row r="720" spans="1:5" x14ac:dyDescent="0.25">
      <c r="A720" t="s">
        <v>1413</v>
      </c>
      <c r="B720" t="s">
        <v>1414</v>
      </c>
      <c r="C720">
        <v>3</v>
      </c>
      <c r="D720">
        <v>851.6</v>
      </c>
      <c r="E720">
        <v>11</v>
      </c>
    </row>
    <row r="721" spans="1:5" x14ac:dyDescent="0.25">
      <c r="A721" t="s">
        <v>1415</v>
      </c>
      <c r="B721" t="s">
        <v>1416</v>
      </c>
      <c r="C721">
        <v>3</v>
      </c>
      <c r="D721">
        <v>851.6</v>
      </c>
      <c r="E721">
        <v>11</v>
      </c>
    </row>
    <row r="722" spans="1:5" x14ac:dyDescent="0.25">
      <c r="A722" t="s">
        <v>1417</v>
      </c>
      <c r="B722" t="s">
        <v>1418</v>
      </c>
      <c r="C722">
        <v>4</v>
      </c>
      <c r="D722">
        <v>1135.4000000000001</v>
      </c>
      <c r="E722">
        <v>11</v>
      </c>
    </row>
    <row r="723" spans="1:5" x14ac:dyDescent="0.25">
      <c r="A723" t="s">
        <v>1419</v>
      </c>
      <c r="B723" t="s">
        <v>1420</v>
      </c>
      <c r="C723">
        <v>6</v>
      </c>
      <c r="D723">
        <v>1703.1</v>
      </c>
      <c r="E723">
        <v>11</v>
      </c>
    </row>
    <row r="724" spans="1:5" x14ac:dyDescent="0.25">
      <c r="A724" t="s">
        <v>1421</v>
      </c>
      <c r="B724" t="s">
        <v>1422</v>
      </c>
      <c r="C724">
        <v>6</v>
      </c>
      <c r="D724">
        <v>1703.1</v>
      </c>
      <c r="E724">
        <v>11</v>
      </c>
    </row>
    <row r="725" spans="1:5" x14ac:dyDescent="0.25">
      <c r="A725" t="s">
        <v>1423</v>
      </c>
      <c r="B725" t="s">
        <v>1424</v>
      </c>
      <c r="C725">
        <v>4</v>
      </c>
      <c r="D725">
        <v>1135.4000000000001</v>
      </c>
      <c r="E725">
        <v>11</v>
      </c>
    </row>
    <row r="726" spans="1:5" x14ac:dyDescent="0.25">
      <c r="A726" t="s">
        <v>1425</v>
      </c>
      <c r="B726" t="s">
        <v>1426</v>
      </c>
      <c r="C726">
        <v>4</v>
      </c>
      <c r="D726">
        <v>1135.4000000000001</v>
      </c>
      <c r="E726">
        <v>5</v>
      </c>
    </row>
    <row r="727" spans="1:5" x14ac:dyDescent="0.25">
      <c r="A727" t="s">
        <v>1427</v>
      </c>
      <c r="B727" t="s">
        <v>1428</v>
      </c>
      <c r="C727">
        <v>4</v>
      </c>
      <c r="D727">
        <v>1135.4000000000001</v>
      </c>
      <c r="E727">
        <v>5</v>
      </c>
    </row>
    <row r="728" spans="1:5" x14ac:dyDescent="0.25">
      <c r="A728" t="s">
        <v>1429</v>
      </c>
      <c r="B728" t="s">
        <v>1430</v>
      </c>
      <c r="C728">
        <v>3</v>
      </c>
      <c r="D728">
        <v>851.6</v>
      </c>
      <c r="E728">
        <v>11</v>
      </c>
    </row>
    <row r="729" spans="1:5" x14ac:dyDescent="0.25">
      <c r="A729" t="s">
        <v>1431</v>
      </c>
      <c r="B729" t="s">
        <v>1432</v>
      </c>
      <c r="C729">
        <v>3</v>
      </c>
      <c r="D729">
        <v>851.6</v>
      </c>
      <c r="E729">
        <v>11</v>
      </c>
    </row>
    <row r="730" spans="1:5" x14ac:dyDescent="0.25">
      <c r="A730" t="s">
        <v>1433</v>
      </c>
      <c r="B730" t="s">
        <v>1434</v>
      </c>
      <c r="C730">
        <v>3</v>
      </c>
      <c r="D730">
        <v>851.6</v>
      </c>
      <c r="E730">
        <v>11</v>
      </c>
    </row>
    <row r="731" spans="1:5" x14ac:dyDescent="0.25">
      <c r="A731" t="s">
        <v>1435</v>
      </c>
      <c r="B731" t="s">
        <v>1436</v>
      </c>
      <c r="C731">
        <v>3</v>
      </c>
      <c r="D731">
        <v>851.6</v>
      </c>
      <c r="E731">
        <v>11</v>
      </c>
    </row>
    <row r="732" spans="1:5" x14ac:dyDescent="0.25">
      <c r="A732" t="s">
        <v>1437</v>
      </c>
      <c r="B732" t="s">
        <v>1438</v>
      </c>
      <c r="C732">
        <v>3</v>
      </c>
      <c r="D732">
        <v>851.6</v>
      </c>
      <c r="E732">
        <v>11</v>
      </c>
    </row>
    <row r="733" spans="1:5" x14ac:dyDescent="0.25">
      <c r="A733" t="s">
        <v>1439</v>
      </c>
      <c r="B733" t="s">
        <v>1440</v>
      </c>
      <c r="C733">
        <v>4</v>
      </c>
      <c r="D733">
        <v>1135.4000000000001</v>
      </c>
      <c r="E733">
        <v>2</v>
      </c>
    </row>
    <row r="734" spans="1:5" x14ac:dyDescent="0.25">
      <c r="A734" t="s">
        <v>1441</v>
      </c>
      <c r="B734" t="s">
        <v>1442</v>
      </c>
      <c r="C734">
        <v>4</v>
      </c>
      <c r="D734">
        <v>1135.4000000000001</v>
      </c>
      <c r="E734">
        <v>11</v>
      </c>
    </row>
    <row r="735" spans="1:5" x14ac:dyDescent="0.25">
      <c r="A735" t="s">
        <v>1443</v>
      </c>
      <c r="B735" t="s">
        <v>1444</v>
      </c>
      <c r="C735">
        <v>3</v>
      </c>
      <c r="D735">
        <v>851.6</v>
      </c>
      <c r="E735">
        <v>11</v>
      </c>
    </row>
    <row r="736" spans="1:5" x14ac:dyDescent="0.25">
      <c r="A736" t="s">
        <v>1445</v>
      </c>
      <c r="B736" t="s">
        <v>1446</v>
      </c>
      <c r="C736">
        <v>3</v>
      </c>
      <c r="D736">
        <v>851.6</v>
      </c>
      <c r="E736">
        <v>11</v>
      </c>
    </row>
    <row r="737" spans="1:5" x14ac:dyDescent="0.25">
      <c r="A737" t="s">
        <v>1447</v>
      </c>
      <c r="B737" t="s">
        <v>1448</v>
      </c>
      <c r="C737">
        <v>6</v>
      </c>
      <c r="D737">
        <v>1703.1</v>
      </c>
      <c r="E737">
        <v>11</v>
      </c>
    </row>
    <row r="738" spans="1:5" x14ac:dyDescent="0.25">
      <c r="A738" t="s">
        <v>1449</v>
      </c>
      <c r="B738" t="s">
        <v>1450</v>
      </c>
      <c r="C738">
        <v>4</v>
      </c>
      <c r="D738">
        <v>1135.4000000000001</v>
      </c>
      <c r="E738">
        <v>11</v>
      </c>
    </row>
    <row r="739" spans="1:5" x14ac:dyDescent="0.25">
      <c r="A739" t="s">
        <v>1451</v>
      </c>
      <c r="B739" t="s">
        <v>1452</v>
      </c>
      <c r="C739">
        <v>4</v>
      </c>
      <c r="D739">
        <v>1135.4000000000001</v>
      </c>
      <c r="E739">
        <v>11</v>
      </c>
    </row>
    <row r="740" spans="1:5" x14ac:dyDescent="0.25">
      <c r="A740" t="s">
        <v>1453</v>
      </c>
      <c r="B740" t="s">
        <v>1454</v>
      </c>
      <c r="C740">
        <v>4</v>
      </c>
      <c r="D740">
        <v>1135.4000000000001</v>
      </c>
      <c r="E740">
        <v>11</v>
      </c>
    </row>
    <row r="741" spans="1:5" x14ac:dyDescent="0.25">
      <c r="A741" t="s">
        <v>1455</v>
      </c>
      <c r="B741" t="s">
        <v>1456</v>
      </c>
      <c r="C741">
        <v>3</v>
      </c>
      <c r="D741">
        <v>851.6</v>
      </c>
      <c r="E741">
        <v>11</v>
      </c>
    </row>
    <row r="742" spans="1:5" x14ac:dyDescent="0.25">
      <c r="A742" t="s">
        <v>1457</v>
      </c>
      <c r="B742" t="s">
        <v>1458</v>
      </c>
      <c r="C742">
        <v>3</v>
      </c>
      <c r="D742">
        <v>851.6</v>
      </c>
      <c r="E742">
        <v>11</v>
      </c>
    </row>
    <row r="743" spans="1:5" x14ac:dyDescent="0.25">
      <c r="A743" t="s">
        <v>1459</v>
      </c>
      <c r="B743" t="s">
        <v>1460</v>
      </c>
      <c r="C743">
        <v>3</v>
      </c>
      <c r="D743">
        <v>851.6</v>
      </c>
      <c r="E743">
        <v>11</v>
      </c>
    </row>
    <row r="744" spans="1:5" x14ac:dyDescent="0.25">
      <c r="A744" t="s">
        <v>1461</v>
      </c>
      <c r="B744" t="s">
        <v>1462</v>
      </c>
      <c r="C744">
        <v>4</v>
      </c>
      <c r="D744">
        <v>1135.4000000000001</v>
      </c>
      <c r="E744">
        <v>11</v>
      </c>
    </row>
    <row r="745" spans="1:5" x14ac:dyDescent="0.25">
      <c r="A745" t="s">
        <v>1463</v>
      </c>
      <c r="B745" t="s">
        <v>1464</v>
      </c>
      <c r="C745">
        <v>4</v>
      </c>
      <c r="D745">
        <v>1135.4000000000001</v>
      </c>
      <c r="E745">
        <v>11</v>
      </c>
    </row>
    <row r="746" spans="1:5" x14ac:dyDescent="0.25">
      <c r="A746" t="s">
        <v>1465</v>
      </c>
      <c r="B746" t="s">
        <v>1466</v>
      </c>
      <c r="C746">
        <v>4</v>
      </c>
      <c r="D746">
        <v>1135.4000000000001</v>
      </c>
      <c r="E746">
        <v>11</v>
      </c>
    </row>
    <row r="747" spans="1:5" x14ac:dyDescent="0.25">
      <c r="A747" t="s">
        <v>1467</v>
      </c>
      <c r="B747" t="s">
        <v>1468</v>
      </c>
      <c r="C747">
        <v>4</v>
      </c>
      <c r="D747">
        <v>1135.4000000000001</v>
      </c>
      <c r="E747">
        <v>11</v>
      </c>
    </row>
    <row r="748" spans="1:5" x14ac:dyDescent="0.25">
      <c r="A748" t="s">
        <v>1469</v>
      </c>
      <c r="B748" t="s">
        <v>1470</v>
      </c>
      <c r="C748">
        <v>3</v>
      </c>
      <c r="D748">
        <v>851.6</v>
      </c>
      <c r="E748">
        <v>11</v>
      </c>
    </row>
    <row r="749" spans="1:5" x14ac:dyDescent="0.25">
      <c r="A749" t="s">
        <v>1471</v>
      </c>
      <c r="B749" t="s">
        <v>1472</v>
      </c>
      <c r="C749">
        <v>3</v>
      </c>
      <c r="D749">
        <v>851.6</v>
      </c>
      <c r="E749">
        <v>11</v>
      </c>
    </row>
    <row r="750" spans="1:5" x14ac:dyDescent="0.25">
      <c r="A750" t="s">
        <v>1473</v>
      </c>
      <c r="B750" t="s">
        <v>1474</v>
      </c>
      <c r="C750">
        <v>3</v>
      </c>
      <c r="D750">
        <v>851.6</v>
      </c>
      <c r="E750">
        <v>11</v>
      </c>
    </row>
    <row r="751" spans="1:5" x14ac:dyDescent="0.25">
      <c r="A751" t="s">
        <v>1475</v>
      </c>
      <c r="B751" t="s">
        <v>1476</v>
      </c>
      <c r="C751">
        <v>3</v>
      </c>
      <c r="D751">
        <v>851.6</v>
      </c>
      <c r="E751">
        <v>10</v>
      </c>
    </row>
    <row r="752" spans="1:5" x14ac:dyDescent="0.25">
      <c r="A752" t="s">
        <v>1477</v>
      </c>
      <c r="B752" t="s">
        <v>1478</v>
      </c>
      <c r="C752">
        <v>3</v>
      </c>
      <c r="D752">
        <v>851.6</v>
      </c>
      <c r="E752">
        <v>11</v>
      </c>
    </row>
    <row r="753" spans="1:5" x14ac:dyDescent="0.25">
      <c r="A753" t="s">
        <v>1479</v>
      </c>
      <c r="B753" t="s">
        <v>1480</v>
      </c>
      <c r="C753">
        <v>4</v>
      </c>
      <c r="D753">
        <v>1135.4000000000001</v>
      </c>
      <c r="E753">
        <v>11</v>
      </c>
    </row>
    <row r="754" spans="1:5" x14ac:dyDescent="0.25">
      <c r="A754" t="s">
        <v>1481</v>
      </c>
      <c r="B754" t="s">
        <v>1482</v>
      </c>
      <c r="C754">
        <v>4</v>
      </c>
      <c r="D754">
        <v>1135.4000000000001</v>
      </c>
      <c r="E754">
        <v>11</v>
      </c>
    </row>
    <row r="755" spans="1:5" x14ac:dyDescent="0.25">
      <c r="A755" t="s">
        <v>1483</v>
      </c>
      <c r="B755" t="s">
        <v>1484</v>
      </c>
      <c r="C755">
        <v>4</v>
      </c>
      <c r="D755">
        <v>1135.4000000000001</v>
      </c>
      <c r="E755">
        <v>11</v>
      </c>
    </row>
    <row r="756" spans="1:5" x14ac:dyDescent="0.25">
      <c r="A756" t="s">
        <v>1485</v>
      </c>
      <c r="B756" t="s">
        <v>1486</v>
      </c>
      <c r="C756">
        <v>6</v>
      </c>
      <c r="D756">
        <v>1703.1</v>
      </c>
      <c r="E756">
        <v>11</v>
      </c>
    </row>
    <row r="757" spans="1:5" x14ac:dyDescent="0.25">
      <c r="A757" t="s">
        <v>1487</v>
      </c>
      <c r="B757" t="s">
        <v>1488</v>
      </c>
      <c r="C757">
        <v>6</v>
      </c>
      <c r="D757">
        <v>1703.1</v>
      </c>
      <c r="E757">
        <v>11</v>
      </c>
    </row>
    <row r="758" spans="1:5" x14ac:dyDescent="0.25">
      <c r="A758" t="s">
        <v>1489</v>
      </c>
      <c r="B758" t="s">
        <v>1490</v>
      </c>
      <c r="C758">
        <v>6</v>
      </c>
      <c r="D758">
        <v>1703.1</v>
      </c>
      <c r="E758">
        <v>11</v>
      </c>
    </row>
    <row r="759" spans="1:5" x14ac:dyDescent="0.25">
      <c r="A759" t="s">
        <v>1491</v>
      </c>
      <c r="B759" t="s">
        <v>1492</v>
      </c>
      <c r="C759">
        <v>5</v>
      </c>
      <c r="D759">
        <v>1419.3</v>
      </c>
      <c r="E759">
        <v>11</v>
      </c>
    </row>
    <row r="760" spans="1:5" x14ac:dyDescent="0.25">
      <c r="A760" t="s">
        <v>1493</v>
      </c>
      <c r="B760" t="s">
        <v>1494</v>
      </c>
      <c r="C760">
        <v>6</v>
      </c>
      <c r="D760">
        <v>1703.1</v>
      </c>
      <c r="E760">
        <v>11</v>
      </c>
    </row>
    <row r="761" spans="1:5" x14ac:dyDescent="0.25">
      <c r="A761" t="s">
        <v>1495</v>
      </c>
      <c r="B761" t="s">
        <v>1496</v>
      </c>
      <c r="C761">
        <v>8</v>
      </c>
      <c r="D761">
        <v>2270.8000000000002</v>
      </c>
      <c r="E761">
        <v>11</v>
      </c>
    </row>
    <row r="762" spans="1:5" x14ac:dyDescent="0.25">
      <c r="A762" t="s">
        <v>1497</v>
      </c>
      <c r="B762" t="s">
        <v>1498</v>
      </c>
      <c r="C762">
        <v>8</v>
      </c>
      <c r="D762">
        <v>2270.8000000000002</v>
      </c>
      <c r="E762">
        <v>11</v>
      </c>
    </row>
    <row r="763" spans="1:5" x14ac:dyDescent="0.25">
      <c r="A763" t="s">
        <v>1499</v>
      </c>
      <c r="B763" t="s">
        <v>1500</v>
      </c>
      <c r="C763">
        <v>3</v>
      </c>
      <c r="D763">
        <v>851.6</v>
      </c>
      <c r="E763">
        <v>6</v>
      </c>
    </row>
    <row r="764" spans="1:5" x14ac:dyDescent="0.25">
      <c r="A764" t="s">
        <v>1501</v>
      </c>
      <c r="B764" t="s">
        <v>1502</v>
      </c>
      <c r="C764">
        <v>3</v>
      </c>
      <c r="D764">
        <v>851.6</v>
      </c>
      <c r="E764">
        <v>10</v>
      </c>
    </row>
    <row r="765" spans="1:5" x14ac:dyDescent="0.25">
      <c r="A765" t="s">
        <v>1503</v>
      </c>
      <c r="B765" t="s">
        <v>1504</v>
      </c>
      <c r="C765">
        <v>3</v>
      </c>
      <c r="D765">
        <v>851.6</v>
      </c>
      <c r="E765">
        <v>6</v>
      </c>
    </row>
    <row r="766" spans="1:5" x14ac:dyDescent="0.25">
      <c r="A766" t="s">
        <v>1505</v>
      </c>
      <c r="B766" t="s">
        <v>1506</v>
      </c>
      <c r="C766">
        <v>3</v>
      </c>
      <c r="D766">
        <v>851.6</v>
      </c>
      <c r="E766">
        <v>6</v>
      </c>
    </row>
    <row r="767" spans="1:5" x14ac:dyDescent="0.25">
      <c r="A767" t="s">
        <v>1507</v>
      </c>
      <c r="B767" t="s">
        <v>1508</v>
      </c>
      <c r="C767">
        <v>4</v>
      </c>
      <c r="D767">
        <v>1135.4000000000001</v>
      </c>
      <c r="E767">
        <v>6</v>
      </c>
    </row>
    <row r="768" spans="1:5" x14ac:dyDescent="0.25">
      <c r="A768" t="s">
        <v>1509</v>
      </c>
      <c r="B768" t="s">
        <v>1510</v>
      </c>
      <c r="C768">
        <v>4</v>
      </c>
      <c r="D768">
        <v>1135.4000000000001</v>
      </c>
      <c r="E768">
        <v>6</v>
      </c>
    </row>
    <row r="769" spans="1:5" x14ac:dyDescent="0.25">
      <c r="A769" t="s">
        <v>1511</v>
      </c>
      <c r="B769" t="s">
        <v>1512</v>
      </c>
      <c r="C769">
        <v>6</v>
      </c>
      <c r="D769">
        <v>1703.1</v>
      </c>
      <c r="E769">
        <v>6</v>
      </c>
    </row>
    <row r="770" spans="1:5" x14ac:dyDescent="0.25">
      <c r="A770" t="s">
        <v>1513</v>
      </c>
      <c r="B770" t="s">
        <v>1514</v>
      </c>
      <c r="C770">
        <v>6</v>
      </c>
      <c r="D770">
        <v>1703.1</v>
      </c>
      <c r="E770">
        <v>1</v>
      </c>
    </row>
    <row r="771" spans="1:5" x14ac:dyDescent="0.25">
      <c r="A771" t="s">
        <v>1515</v>
      </c>
      <c r="B771" t="s">
        <v>1516</v>
      </c>
      <c r="C771">
        <v>6</v>
      </c>
      <c r="D771">
        <v>1703.1</v>
      </c>
      <c r="E771">
        <v>1</v>
      </c>
    </row>
    <row r="772" spans="1:5" x14ac:dyDescent="0.25">
      <c r="A772" t="s">
        <v>1517</v>
      </c>
      <c r="B772" t="s">
        <v>1518</v>
      </c>
      <c r="C772">
        <v>4</v>
      </c>
      <c r="D772">
        <v>1135.4000000000001</v>
      </c>
      <c r="E772">
        <v>6</v>
      </c>
    </row>
    <row r="773" spans="1:5" x14ac:dyDescent="0.25">
      <c r="A773" t="s">
        <v>1519</v>
      </c>
      <c r="B773" t="s">
        <v>1520</v>
      </c>
      <c r="C773">
        <v>4</v>
      </c>
      <c r="D773">
        <v>1135.4000000000001</v>
      </c>
      <c r="E773">
        <v>6</v>
      </c>
    </row>
    <row r="774" spans="1:5" x14ac:dyDescent="0.25">
      <c r="A774" t="s">
        <v>1521</v>
      </c>
      <c r="B774" t="s">
        <v>1522</v>
      </c>
      <c r="C774">
        <v>4</v>
      </c>
      <c r="D774">
        <v>1135.4000000000001</v>
      </c>
      <c r="E774">
        <v>10</v>
      </c>
    </row>
    <row r="775" spans="1:5" x14ac:dyDescent="0.25">
      <c r="A775" t="s">
        <v>1523</v>
      </c>
      <c r="B775" t="s">
        <v>1524</v>
      </c>
      <c r="C775">
        <v>3</v>
      </c>
      <c r="D775">
        <v>851.6</v>
      </c>
      <c r="E775">
        <v>6</v>
      </c>
    </row>
    <row r="776" spans="1:5" x14ac:dyDescent="0.25">
      <c r="A776" t="s">
        <v>1525</v>
      </c>
      <c r="B776" t="s">
        <v>1526</v>
      </c>
      <c r="C776">
        <v>3</v>
      </c>
      <c r="D776">
        <v>851.6</v>
      </c>
      <c r="E776">
        <v>6</v>
      </c>
    </row>
    <row r="777" spans="1:5" x14ac:dyDescent="0.25">
      <c r="A777" t="s">
        <v>1527</v>
      </c>
      <c r="B777" t="s">
        <v>1528</v>
      </c>
      <c r="C777">
        <v>3</v>
      </c>
      <c r="D777">
        <v>851.6</v>
      </c>
      <c r="E777">
        <v>6</v>
      </c>
    </row>
    <row r="778" spans="1:5" x14ac:dyDescent="0.25">
      <c r="A778" t="s">
        <v>1529</v>
      </c>
      <c r="B778" t="s">
        <v>1530</v>
      </c>
      <c r="C778">
        <v>6</v>
      </c>
      <c r="D778">
        <v>1703.1</v>
      </c>
      <c r="E778">
        <v>6</v>
      </c>
    </row>
    <row r="779" spans="1:5" x14ac:dyDescent="0.25">
      <c r="A779" t="s">
        <v>1531</v>
      </c>
      <c r="B779" t="s">
        <v>1532</v>
      </c>
      <c r="C779">
        <v>4</v>
      </c>
      <c r="D779">
        <v>1135.4000000000001</v>
      </c>
      <c r="E779">
        <v>6</v>
      </c>
    </row>
    <row r="780" spans="1:5" x14ac:dyDescent="0.25">
      <c r="A780" t="s">
        <v>1533</v>
      </c>
      <c r="B780" t="s">
        <v>1534</v>
      </c>
      <c r="C780">
        <v>6</v>
      </c>
      <c r="D780">
        <v>1703.1</v>
      </c>
      <c r="E780">
        <v>6</v>
      </c>
    </row>
    <row r="781" spans="1:5" x14ac:dyDescent="0.25">
      <c r="A781" t="s">
        <v>1535</v>
      </c>
      <c r="B781" t="s">
        <v>1536</v>
      </c>
      <c r="C781">
        <v>6</v>
      </c>
      <c r="D781">
        <v>1703.1</v>
      </c>
      <c r="E781">
        <v>6</v>
      </c>
    </row>
    <row r="782" spans="1:5" x14ac:dyDescent="0.25">
      <c r="A782" t="s">
        <v>1537</v>
      </c>
      <c r="B782" t="s">
        <v>1538</v>
      </c>
      <c r="C782">
        <v>6</v>
      </c>
      <c r="D782">
        <v>1703.1</v>
      </c>
      <c r="E782">
        <v>6</v>
      </c>
    </row>
    <row r="783" spans="1:5" x14ac:dyDescent="0.25">
      <c r="A783" t="s">
        <v>1539</v>
      </c>
      <c r="B783" t="s">
        <v>1540</v>
      </c>
      <c r="C783">
        <v>6</v>
      </c>
      <c r="D783">
        <v>1703.1</v>
      </c>
      <c r="E783">
        <v>6</v>
      </c>
    </row>
    <row r="784" spans="1:5" x14ac:dyDescent="0.25">
      <c r="A784" t="s">
        <v>1541</v>
      </c>
      <c r="B784" t="s">
        <v>1542</v>
      </c>
      <c r="C784">
        <v>6</v>
      </c>
      <c r="D784">
        <v>1703.1</v>
      </c>
      <c r="E784">
        <v>6</v>
      </c>
    </row>
    <row r="785" spans="1:5" x14ac:dyDescent="0.25">
      <c r="A785" t="s">
        <v>1543</v>
      </c>
      <c r="B785" t="s">
        <v>1544</v>
      </c>
      <c r="C785">
        <v>3</v>
      </c>
      <c r="D785">
        <v>851.6</v>
      </c>
      <c r="E785">
        <v>6</v>
      </c>
    </row>
    <row r="786" spans="1:5" x14ac:dyDescent="0.25">
      <c r="A786" t="s">
        <v>1545</v>
      </c>
      <c r="B786" t="s">
        <v>1546</v>
      </c>
      <c r="C786">
        <v>6</v>
      </c>
      <c r="D786">
        <v>1703.1</v>
      </c>
      <c r="E786">
        <v>6</v>
      </c>
    </row>
    <row r="787" spans="1:5" x14ac:dyDescent="0.25">
      <c r="A787" t="s">
        <v>1547</v>
      </c>
      <c r="B787" t="s">
        <v>1548</v>
      </c>
      <c r="C787">
        <v>3</v>
      </c>
      <c r="D787">
        <v>851.6</v>
      </c>
      <c r="E787">
        <v>6</v>
      </c>
    </row>
    <row r="788" spans="1:5" x14ac:dyDescent="0.25">
      <c r="A788" t="s">
        <v>1549</v>
      </c>
      <c r="B788" t="s">
        <v>1550</v>
      </c>
      <c r="C788">
        <v>5</v>
      </c>
      <c r="D788">
        <v>1419.3</v>
      </c>
      <c r="E788">
        <v>6</v>
      </c>
    </row>
    <row r="789" spans="1:5" x14ac:dyDescent="0.25">
      <c r="A789" t="s">
        <v>1551</v>
      </c>
      <c r="B789" t="s">
        <v>1552</v>
      </c>
      <c r="C789">
        <v>4</v>
      </c>
      <c r="D789">
        <v>1135.4000000000001</v>
      </c>
      <c r="E789">
        <v>6</v>
      </c>
    </row>
    <row r="790" spans="1:5" x14ac:dyDescent="0.25">
      <c r="A790" t="s">
        <v>1553</v>
      </c>
      <c r="B790" t="s">
        <v>1554</v>
      </c>
      <c r="C790">
        <v>6</v>
      </c>
      <c r="D790">
        <v>1703.1</v>
      </c>
      <c r="E790">
        <v>6</v>
      </c>
    </row>
    <row r="791" spans="1:5" x14ac:dyDescent="0.25">
      <c r="A791" t="s">
        <v>1555</v>
      </c>
      <c r="B791" t="s">
        <v>1556</v>
      </c>
      <c r="C791">
        <v>5</v>
      </c>
      <c r="D791">
        <v>1419.3</v>
      </c>
      <c r="E791">
        <v>2</v>
      </c>
    </row>
    <row r="792" spans="1:5" x14ac:dyDescent="0.25">
      <c r="A792" t="s">
        <v>1557</v>
      </c>
      <c r="B792" t="s">
        <v>1558</v>
      </c>
      <c r="C792">
        <v>6</v>
      </c>
      <c r="D792">
        <v>1703.1</v>
      </c>
      <c r="E792">
        <v>6</v>
      </c>
    </row>
    <row r="793" spans="1:5" x14ac:dyDescent="0.25">
      <c r="A793" t="s">
        <v>1559</v>
      </c>
      <c r="B793" t="s">
        <v>1560</v>
      </c>
      <c r="C793">
        <v>4</v>
      </c>
      <c r="D793">
        <v>1135.4000000000001</v>
      </c>
      <c r="E793">
        <v>6</v>
      </c>
    </row>
    <row r="794" spans="1:5" x14ac:dyDescent="0.25">
      <c r="A794" t="s">
        <v>1561</v>
      </c>
      <c r="B794" t="s">
        <v>1562</v>
      </c>
      <c r="C794">
        <v>4</v>
      </c>
      <c r="D794">
        <v>1135.4000000000001</v>
      </c>
      <c r="E794">
        <v>1</v>
      </c>
    </row>
    <row r="795" spans="1:5" x14ac:dyDescent="0.25">
      <c r="A795" t="s">
        <v>1563</v>
      </c>
      <c r="B795" t="s">
        <v>1564</v>
      </c>
      <c r="C795">
        <v>5</v>
      </c>
      <c r="D795">
        <v>1419.3</v>
      </c>
      <c r="E795">
        <v>6</v>
      </c>
    </row>
    <row r="796" spans="1:5" x14ac:dyDescent="0.25">
      <c r="A796" t="s">
        <v>1565</v>
      </c>
      <c r="B796" t="s">
        <v>1566</v>
      </c>
      <c r="C796">
        <v>6</v>
      </c>
      <c r="D796">
        <v>1703.1</v>
      </c>
      <c r="E796">
        <v>6</v>
      </c>
    </row>
    <row r="797" spans="1:5" x14ac:dyDescent="0.25">
      <c r="A797" t="s">
        <v>1567</v>
      </c>
      <c r="B797" t="s">
        <v>1568</v>
      </c>
      <c r="C797">
        <v>6</v>
      </c>
      <c r="D797">
        <v>1703.1</v>
      </c>
      <c r="E797">
        <v>2</v>
      </c>
    </row>
    <row r="798" spans="1:5" x14ac:dyDescent="0.25">
      <c r="A798" t="s">
        <v>1569</v>
      </c>
      <c r="B798" t="s">
        <v>1570</v>
      </c>
      <c r="C798">
        <v>6</v>
      </c>
      <c r="D798">
        <v>1703.1</v>
      </c>
      <c r="E798">
        <v>6</v>
      </c>
    </row>
    <row r="799" spans="1:5" x14ac:dyDescent="0.25">
      <c r="A799" t="s">
        <v>1571</v>
      </c>
      <c r="B799" t="s">
        <v>1572</v>
      </c>
      <c r="C799">
        <v>6</v>
      </c>
      <c r="D799">
        <v>1703.1</v>
      </c>
      <c r="E799">
        <v>6</v>
      </c>
    </row>
    <row r="800" spans="1:5" x14ac:dyDescent="0.25">
      <c r="A800" t="s">
        <v>1573</v>
      </c>
      <c r="B800" t="s">
        <v>1574</v>
      </c>
      <c r="C800">
        <v>6</v>
      </c>
      <c r="D800">
        <v>1703.1</v>
      </c>
      <c r="E800">
        <v>6</v>
      </c>
    </row>
    <row r="801" spans="1:5" x14ac:dyDescent="0.25">
      <c r="A801" t="s">
        <v>1575</v>
      </c>
      <c r="B801" t="s">
        <v>1576</v>
      </c>
      <c r="C801">
        <v>6</v>
      </c>
      <c r="D801">
        <v>1703.1</v>
      </c>
      <c r="E801">
        <v>6</v>
      </c>
    </row>
    <row r="802" spans="1:5" x14ac:dyDescent="0.25">
      <c r="A802" t="s">
        <v>1577</v>
      </c>
      <c r="B802" t="s">
        <v>1578</v>
      </c>
      <c r="C802">
        <v>6</v>
      </c>
      <c r="D802">
        <v>1703.1</v>
      </c>
      <c r="E802">
        <v>6</v>
      </c>
    </row>
    <row r="803" spans="1:5" x14ac:dyDescent="0.25">
      <c r="A803" t="s">
        <v>1579</v>
      </c>
      <c r="B803" t="s">
        <v>1580</v>
      </c>
      <c r="C803">
        <v>6</v>
      </c>
      <c r="D803">
        <v>1703.1</v>
      </c>
      <c r="E803">
        <v>6</v>
      </c>
    </row>
    <row r="804" spans="1:5" x14ac:dyDescent="0.25">
      <c r="A804" t="s">
        <v>1581</v>
      </c>
      <c r="B804" t="s">
        <v>1582</v>
      </c>
      <c r="C804">
        <v>6</v>
      </c>
      <c r="D804">
        <v>1703.1</v>
      </c>
      <c r="E804">
        <v>6</v>
      </c>
    </row>
    <row r="805" spans="1:5" x14ac:dyDescent="0.25">
      <c r="A805" t="s">
        <v>1583</v>
      </c>
      <c r="B805" t="s">
        <v>1584</v>
      </c>
      <c r="C805">
        <v>5</v>
      </c>
      <c r="D805">
        <v>1419.3</v>
      </c>
      <c r="E805">
        <v>6</v>
      </c>
    </row>
    <row r="806" spans="1:5" x14ac:dyDescent="0.25">
      <c r="A806" t="s">
        <v>1585</v>
      </c>
      <c r="B806" t="s">
        <v>1586</v>
      </c>
      <c r="C806">
        <v>5</v>
      </c>
      <c r="D806">
        <v>1419.3</v>
      </c>
      <c r="E806">
        <v>6</v>
      </c>
    </row>
    <row r="807" spans="1:5" x14ac:dyDescent="0.25">
      <c r="A807" t="s">
        <v>1587</v>
      </c>
      <c r="B807" t="s">
        <v>1588</v>
      </c>
      <c r="C807">
        <v>5</v>
      </c>
      <c r="D807">
        <v>1419.3</v>
      </c>
      <c r="E807">
        <v>6</v>
      </c>
    </row>
    <row r="808" spans="1:5" x14ac:dyDescent="0.25">
      <c r="A808" t="s">
        <v>1589</v>
      </c>
      <c r="B808" t="s">
        <v>1590</v>
      </c>
      <c r="C808">
        <v>5</v>
      </c>
      <c r="D808">
        <v>1419.3</v>
      </c>
      <c r="E808">
        <v>6</v>
      </c>
    </row>
    <row r="809" spans="1:5" x14ac:dyDescent="0.25">
      <c r="A809" t="s">
        <v>1591</v>
      </c>
      <c r="B809" t="s">
        <v>1592</v>
      </c>
      <c r="C809">
        <v>5</v>
      </c>
      <c r="D809">
        <v>1419.3</v>
      </c>
      <c r="E809">
        <v>6</v>
      </c>
    </row>
    <row r="810" spans="1:5" x14ac:dyDescent="0.25">
      <c r="A810" t="s">
        <v>1593</v>
      </c>
      <c r="B810" t="s">
        <v>1594</v>
      </c>
      <c r="C810">
        <v>5</v>
      </c>
      <c r="D810">
        <v>1419.3</v>
      </c>
      <c r="E810">
        <v>6</v>
      </c>
    </row>
    <row r="811" spans="1:5" x14ac:dyDescent="0.25">
      <c r="A811" t="s">
        <v>1595</v>
      </c>
      <c r="B811" t="s">
        <v>1596</v>
      </c>
      <c r="C811">
        <v>5</v>
      </c>
      <c r="D811">
        <v>1419.3</v>
      </c>
      <c r="E811">
        <v>6</v>
      </c>
    </row>
    <row r="812" spans="1:5" x14ac:dyDescent="0.25">
      <c r="A812" t="s">
        <v>1597</v>
      </c>
      <c r="B812" t="s">
        <v>1598</v>
      </c>
      <c r="C812">
        <v>8</v>
      </c>
      <c r="D812">
        <v>2270.8000000000002</v>
      </c>
      <c r="E812">
        <v>6</v>
      </c>
    </row>
    <row r="813" spans="1:5" x14ac:dyDescent="0.25">
      <c r="A813" t="s">
        <v>1599</v>
      </c>
      <c r="B813" t="s">
        <v>1600</v>
      </c>
      <c r="C813">
        <v>8</v>
      </c>
      <c r="D813">
        <v>2270.8000000000002</v>
      </c>
      <c r="E813">
        <v>6</v>
      </c>
    </row>
    <row r="814" spans="1:5" x14ac:dyDescent="0.25">
      <c r="A814" t="s">
        <v>1601</v>
      </c>
      <c r="B814" t="s">
        <v>1602</v>
      </c>
      <c r="C814">
        <v>8</v>
      </c>
      <c r="D814">
        <v>2270.8000000000002</v>
      </c>
      <c r="E814">
        <v>6</v>
      </c>
    </row>
    <row r="815" spans="1:5" x14ac:dyDescent="0.25">
      <c r="A815" t="s">
        <v>1603</v>
      </c>
      <c r="B815" t="s">
        <v>1604</v>
      </c>
      <c r="C815">
        <v>8</v>
      </c>
      <c r="D815">
        <v>2270.8000000000002</v>
      </c>
      <c r="E815">
        <v>6</v>
      </c>
    </row>
    <row r="816" spans="1:5" x14ac:dyDescent="0.25">
      <c r="A816" t="s">
        <v>1605</v>
      </c>
      <c r="B816" t="s">
        <v>1606</v>
      </c>
      <c r="C816">
        <v>4</v>
      </c>
      <c r="D816">
        <v>1135.4000000000001</v>
      </c>
      <c r="E816">
        <v>6</v>
      </c>
    </row>
    <row r="817" spans="1:5" x14ac:dyDescent="0.25">
      <c r="A817" t="s">
        <v>1607</v>
      </c>
      <c r="B817" t="s">
        <v>1558</v>
      </c>
      <c r="C817">
        <v>6</v>
      </c>
      <c r="D817">
        <v>1703.1</v>
      </c>
      <c r="E817">
        <v>6</v>
      </c>
    </row>
    <row r="818" spans="1:5" x14ac:dyDescent="0.25">
      <c r="A818" t="s">
        <v>1608</v>
      </c>
      <c r="B818" t="s">
        <v>1558</v>
      </c>
      <c r="C818">
        <v>5</v>
      </c>
      <c r="D818">
        <v>1419.3</v>
      </c>
      <c r="E818">
        <v>6</v>
      </c>
    </row>
    <row r="819" spans="1:5" x14ac:dyDescent="0.25">
      <c r="A819" t="s">
        <v>1609</v>
      </c>
      <c r="B819" t="s">
        <v>1610</v>
      </c>
      <c r="C819">
        <v>3</v>
      </c>
      <c r="D819">
        <v>851.6</v>
      </c>
      <c r="E819">
        <v>6</v>
      </c>
    </row>
    <row r="820" spans="1:5" x14ac:dyDescent="0.25">
      <c r="A820" t="s">
        <v>1611</v>
      </c>
      <c r="B820" t="s">
        <v>1612</v>
      </c>
      <c r="C820">
        <v>3</v>
      </c>
      <c r="D820">
        <v>851.6</v>
      </c>
      <c r="E820">
        <v>6</v>
      </c>
    </row>
    <row r="821" spans="1:5" x14ac:dyDescent="0.25">
      <c r="A821" t="s">
        <v>1613</v>
      </c>
      <c r="B821" t="s">
        <v>1614</v>
      </c>
      <c r="C821">
        <v>3</v>
      </c>
      <c r="D821">
        <v>851.6</v>
      </c>
      <c r="E821">
        <v>6</v>
      </c>
    </row>
    <row r="822" spans="1:5" x14ac:dyDescent="0.25">
      <c r="A822" t="s">
        <v>1615</v>
      </c>
      <c r="B822" t="s">
        <v>1616</v>
      </c>
      <c r="C822">
        <v>3</v>
      </c>
      <c r="D822">
        <v>851.6</v>
      </c>
      <c r="E822">
        <v>6</v>
      </c>
    </row>
    <row r="823" spans="1:5" x14ac:dyDescent="0.25">
      <c r="A823" t="s">
        <v>1617</v>
      </c>
      <c r="B823" t="s">
        <v>1618</v>
      </c>
      <c r="C823">
        <v>3</v>
      </c>
      <c r="D823">
        <v>851.6</v>
      </c>
      <c r="E823">
        <v>1</v>
      </c>
    </row>
    <row r="824" spans="1:5" x14ac:dyDescent="0.25">
      <c r="A824" t="s">
        <v>1619</v>
      </c>
      <c r="B824" t="s">
        <v>1620</v>
      </c>
      <c r="C824">
        <v>3</v>
      </c>
      <c r="D824">
        <v>851.6</v>
      </c>
      <c r="E824">
        <v>6</v>
      </c>
    </row>
    <row r="825" spans="1:5" x14ac:dyDescent="0.25">
      <c r="A825" t="s">
        <v>1621</v>
      </c>
      <c r="B825" t="s">
        <v>1622</v>
      </c>
      <c r="C825">
        <v>3</v>
      </c>
      <c r="D825">
        <v>851.6</v>
      </c>
      <c r="E825">
        <v>6</v>
      </c>
    </row>
    <row r="826" spans="1:5" x14ac:dyDescent="0.25">
      <c r="A826" t="s">
        <v>1623</v>
      </c>
      <c r="B826" t="s">
        <v>1624</v>
      </c>
      <c r="C826">
        <v>3</v>
      </c>
      <c r="D826">
        <v>851.6</v>
      </c>
      <c r="E826">
        <v>6</v>
      </c>
    </row>
    <row r="827" spans="1:5" x14ac:dyDescent="0.25">
      <c r="A827" t="s">
        <v>1625</v>
      </c>
      <c r="B827" t="s">
        <v>1626</v>
      </c>
      <c r="C827">
        <v>3</v>
      </c>
      <c r="D827">
        <v>851.6</v>
      </c>
      <c r="E827">
        <v>6</v>
      </c>
    </row>
    <row r="828" spans="1:5" x14ac:dyDescent="0.25">
      <c r="A828" t="s">
        <v>1627</v>
      </c>
      <c r="B828" t="s">
        <v>1628</v>
      </c>
      <c r="C828">
        <v>3</v>
      </c>
      <c r="D828">
        <v>851.6</v>
      </c>
      <c r="E828">
        <v>6</v>
      </c>
    </row>
    <row r="829" spans="1:5" x14ac:dyDescent="0.25">
      <c r="A829" t="s">
        <v>1629</v>
      </c>
      <c r="B829" t="s">
        <v>1630</v>
      </c>
      <c r="C829">
        <v>3</v>
      </c>
      <c r="D829">
        <v>851.6</v>
      </c>
      <c r="E829">
        <v>6</v>
      </c>
    </row>
    <row r="830" spans="1:5" x14ac:dyDescent="0.25">
      <c r="A830" t="s">
        <v>1631</v>
      </c>
      <c r="B830" t="s">
        <v>1632</v>
      </c>
      <c r="C830">
        <v>5</v>
      </c>
      <c r="D830">
        <v>1419.3</v>
      </c>
      <c r="E830">
        <v>6</v>
      </c>
    </row>
    <row r="831" spans="1:5" x14ac:dyDescent="0.25">
      <c r="A831" t="s">
        <v>1633</v>
      </c>
      <c r="B831" t="s">
        <v>1634</v>
      </c>
      <c r="C831">
        <v>5</v>
      </c>
      <c r="D831">
        <v>1419.3</v>
      </c>
      <c r="E831">
        <v>6</v>
      </c>
    </row>
    <row r="832" spans="1:5" x14ac:dyDescent="0.25">
      <c r="A832" t="s">
        <v>1635</v>
      </c>
      <c r="B832" t="s">
        <v>1636</v>
      </c>
      <c r="C832">
        <v>5</v>
      </c>
      <c r="D832">
        <v>1419.3</v>
      </c>
      <c r="E832">
        <v>6</v>
      </c>
    </row>
    <row r="833" spans="1:5" x14ac:dyDescent="0.25">
      <c r="A833" t="s">
        <v>1637</v>
      </c>
      <c r="B833" t="s">
        <v>1638</v>
      </c>
      <c r="C833">
        <v>5</v>
      </c>
      <c r="D833">
        <v>1419.3</v>
      </c>
      <c r="E833">
        <v>6</v>
      </c>
    </row>
    <row r="834" spans="1:5" x14ac:dyDescent="0.25">
      <c r="A834" t="s">
        <v>1639</v>
      </c>
      <c r="B834" t="s">
        <v>1640</v>
      </c>
      <c r="C834">
        <v>3</v>
      </c>
      <c r="D834">
        <v>851.6</v>
      </c>
      <c r="E834">
        <v>6</v>
      </c>
    </row>
    <row r="835" spans="1:5" x14ac:dyDescent="0.25">
      <c r="A835" t="s">
        <v>1641</v>
      </c>
      <c r="B835" t="s">
        <v>1642</v>
      </c>
      <c r="C835">
        <v>3</v>
      </c>
      <c r="D835">
        <v>851.6</v>
      </c>
      <c r="E835">
        <v>6</v>
      </c>
    </row>
    <row r="836" spans="1:5" x14ac:dyDescent="0.25">
      <c r="A836" t="s">
        <v>1643</v>
      </c>
      <c r="B836" t="s">
        <v>1644</v>
      </c>
      <c r="C836">
        <v>4</v>
      </c>
      <c r="D836">
        <v>1135.4000000000001</v>
      </c>
      <c r="E836">
        <v>6</v>
      </c>
    </row>
    <row r="837" spans="1:5" x14ac:dyDescent="0.25">
      <c r="A837" t="s">
        <v>1645</v>
      </c>
      <c r="B837" t="s">
        <v>1646</v>
      </c>
      <c r="C837">
        <v>3</v>
      </c>
      <c r="D837">
        <v>851.6</v>
      </c>
      <c r="E837">
        <v>6</v>
      </c>
    </row>
    <row r="838" spans="1:5" x14ac:dyDescent="0.25">
      <c r="A838" t="s">
        <v>1647</v>
      </c>
      <c r="B838" t="s">
        <v>1648</v>
      </c>
      <c r="C838">
        <v>3</v>
      </c>
      <c r="D838">
        <v>851.6</v>
      </c>
      <c r="E838">
        <v>11</v>
      </c>
    </row>
    <row r="839" spans="1:5" x14ac:dyDescent="0.25">
      <c r="A839" t="s">
        <v>1649</v>
      </c>
      <c r="B839" t="s">
        <v>1650</v>
      </c>
      <c r="C839">
        <v>3</v>
      </c>
      <c r="D839">
        <v>851.6</v>
      </c>
      <c r="E839">
        <v>6</v>
      </c>
    </row>
    <row r="840" spans="1:5" x14ac:dyDescent="0.25">
      <c r="A840" t="s">
        <v>1651</v>
      </c>
      <c r="B840" t="s">
        <v>1652</v>
      </c>
      <c r="C840">
        <v>3</v>
      </c>
      <c r="D840">
        <v>851.6</v>
      </c>
      <c r="E840">
        <v>1</v>
      </c>
    </row>
    <row r="841" spans="1:5" x14ac:dyDescent="0.25">
      <c r="A841" t="s">
        <v>1653</v>
      </c>
      <c r="B841" t="s">
        <v>1654</v>
      </c>
      <c r="C841">
        <v>3</v>
      </c>
      <c r="D841">
        <v>851.6</v>
      </c>
      <c r="E841">
        <v>1</v>
      </c>
    </row>
    <row r="842" spans="1:5" x14ac:dyDescent="0.25">
      <c r="A842" t="s">
        <v>1655</v>
      </c>
      <c r="B842" t="s">
        <v>1656</v>
      </c>
      <c r="C842">
        <v>3</v>
      </c>
      <c r="D842">
        <v>851.6</v>
      </c>
      <c r="E842">
        <v>6</v>
      </c>
    </row>
    <row r="843" spans="1:5" x14ac:dyDescent="0.25">
      <c r="A843" t="s">
        <v>1657</v>
      </c>
      <c r="B843" t="s">
        <v>1658</v>
      </c>
      <c r="C843">
        <v>3</v>
      </c>
      <c r="D843">
        <v>851.6</v>
      </c>
      <c r="E843">
        <v>6</v>
      </c>
    </row>
    <row r="844" spans="1:5" x14ac:dyDescent="0.25">
      <c r="A844" t="s">
        <v>1659</v>
      </c>
      <c r="B844" t="s">
        <v>1660</v>
      </c>
      <c r="C844">
        <v>3</v>
      </c>
      <c r="D844">
        <v>851.6</v>
      </c>
      <c r="E844">
        <v>6</v>
      </c>
    </row>
    <row r="845" spans="1:5" x14ac:dyDescent="0.25">
      <c r="A845" t="s">
        <v>1661</v>
      </c>
      <c r="B845" t="s">
        <v>1662</v>
      </c>
      <c r="C845">
        <v>3</v>
      </c>
      <c r="D845">
        <v>851.6</v>
      </c>
      <c r="E845">
        <v>6</v>
      </c>
    </row>
    <row r="846" spans="1:5" x14ac:dyDescent="0.25">
      <c r="A846" t="s">
        <v>1663</v>
      </c>
      <c r="B846" t="s">
        <v>1664</v>
      </c>
      <c r="C846">
        <v>4</v>
      </c>
      <c r="D846">
        <v>1135.4000000000001</v>
      </c>
      <c r="E846">
        <v>6</v>
      </c>
    </row>
    <row r="847" spans="1:5" x14ac:dyDescent="0.25">
      <c r="A847" t="s">
        <v>1665</v>
      </c>
      <c r="B847" t="s">
        <v>1666</v>
      </c>
      <c r="C847">
        <v>4</v>
      </c>
      <c r="D847">
        <v>1135.4000000000001</v>
      </c>
      <c r="E847">
        <v>6</v>
      </c>
    </row>
    <row r="848" spans="1:5" x14ac:dyDescent="0.25">
      <c r="A848" t="s">
        <v>1667</v>
      </c>
      <c r="B848" t="s">
        <v>1668</v>
      </c>
      <c r="C848">
        <v>4</v>
      </c>
      <c r="D848">
        <v>1135.4000000000001</v>
      </c>
      <c r="E848">
        <v>6</v>
      </c>
    </row>
    <row r="849" spans="1:5" x14ac:dyDescent="0.25">
      <c r="A849" t="s">
        <v>1669</v>
      </c>
      <c r="B849" t="s">
        <v>1670</v>
      </c>
      <c r="C849">
        <v>4</v>
      </c>
      <c r="D849">
        <v>1135.4000000000001</v>
      </c>
      <c r="E849">
        <v>6</v>
      </c>
    </row>
    <row r="850" spans="1:5" x14ac:dyDescent="0.25">
      <c r="A850" t="s">
        <v>1671</v>
      </c>
      <c r="B850" t="s">
        <v>1672</v>
      </c>
      <c r="C850">
        <v>5</v>
      </c>
      <c r="D850">
        <v>1419.3</v>
      </c>
      <c r="E850">
        <v>6</v>
      </c>
    </row>
    <row r="851" spans="1:5" x14ac:dyDescent="0.25">
      <c r="A851" t="s">
        <v>1673</v>
      </c>
      <c r="B851" t="s">
        <v>1674</v>
      </c>
      <c r="C851">
        <v>6</v>
      </c>
      <c r="D851">
        <v>1703.1</v>
      </c>
      <c r="E851">
        <v>6</v>
      </c>
    </row>
    <row r="852" spans="1:5" x14ac:dyDescent="0.25">
      <c r="A852" t="s">
        <v>1675</v>
      </c>
      <c r="B852" t="s">
        <v>1676</v>
      </c>
      <c r="C852">
        <v>4</v>
      </c>
      <c r="D852">
        <v>1135.4000000000001</v>
      </c>
      <c r="E852">
        <v>6</v>
      </c>
    </row>
    <row r="853" spans="1:5" x14ac:dyDescent="0.25">
      <c r="A853" t="s">
        <v>1677</v>
      </c>
      <c r="B853" t="s">
        <v>1678</v>
      </c>
      <c r="C853">
        <v>6</v>
      </c>
      <c r="D853">
        <v>1703.1</v>
      </c>
      <c r="E853">
        <v>6</v>
      </c>
    </row>
    <row r="854" spans="1:5" x14ac:dyDescent="0.25">
      <c r="A854" t="s">
        <v>1679</v>
      </c>
      <c r="B854" t="s">
        <v>1680</v>
      </c>
      <c r="C854">
        <v>6</v>
      </c>
      <c r="D854">
        <v>1703.1</v>
      </c>
      <c r="E854">
        <v>2</v>
      </c>
    </row>
    <row r="855" spans="1:5" x14ac:dyDescent="0.25">
      <c r="A855" t="s">
        <v>1681</v>
      </c>
      <c r="B855" t="s">
        <v>1682</v>
      </c>
      <c r="C855">
        <v>6</v>
      </c>
      <c r="D855">
        <v>1703.1</v>
      </c>
      <c r="E855">
        <v>6</v>
      </c>
    </row>
    <row r="856" spans="1:5" x14ac:dyDescent="0.25">
      <c r="A856" t="s">
        <v>1683</v>
      </c>
      <c r="B856" t="s">
        <v>1684</v>
      </c>
      <c r="C856">
        <v>6</v>
      </c>
      <c r="D856">
        <v>1703.1</v>
      </c>
      <c r="E856">
        <v>6</v>
      </c>
    </row>
    <row r="857" spans="1:5" x14ac:dyDescent="0.25">
      <c r="A857" t="s">
        <v>1685</v>
      </c>
      <c r="B857" t="s">
        <v>1686</v>
      </c>
      <c r="C857">
        <v>6</v>
      </c>
      <c r="D857">
        <v>1703.1</v>
      </c>
      <c r="E857">
        <v>6</v>
      </c>
    </row>
    <row r="858" spans="1:5" x14ac:dyDescent="0.25">
      <c r="A858" t="s">
        <v>1687</v>
      </c>
      <c r="B858" t="s">
        <v>1688</v>
      </c>
      <c r="C858">
        <v>6</v>
      </c>
      <c r="D858">
        <v>1703.1</v>
      </c>
      <c r="E858">
        <v>6</v>
      </c>
    </row>
    <row r="859" spans="1:5" x14ac:dyDescent="0.25">
      <c r="A859" t="s">
        <v>1689</v>
      </c>
      <c r="B859" t="s">
        <v>1690</v>
      </c>
      <c r="C859">
        <v>6</v>
      </c>
      <c r="D859">
        <v>1703.1</v>
      </c>
      <c r="E859">
        <v>6</v>
      </c>
    </row>
    <row r="860" spans="1:5" x14ac:dyDescent="0.25">
      <c r="A860" t="s">
        <v>1691</v>
      </c>
      <c r="B860" t="s">
        <v>1692</v>
      </c>
      <c r="C860">
        <v>6</v>
      </c>
      <c r="D860">
        <v>1703.1</v>
      </c>
      <c r="E860">
        <v>6</v>
      </c>
    </row>
    <row r="861" spans="1:5" x14ac:dyDescent="0.25">
      <c r="A861" t="s">
        <v>1693</v>
      </c>
      <c r="B861" t="s">
        <v>1694</v>
      </c>
      <c r="C861">
        <v>8</v>
      </c>
      <c r="D861">
        <v>2270.8000000000002</v>
      </c>
      <c r="E861">
        <v>6</v>
      </c>
    </row>
    <row r="862" spans="1:5" x14ac:dyDescent="0.25">
      <c r="A862" t="s">
        <v>1695</v>
      </c>
      <c r="B862" t="s">
        <v>1696</v>
      </c>
      <c r="C862">
        <v>8</v>
      </c>
      <c r="D862">
        <v>2270.8000000000002</v>
      </c>
      <c r="E862">
        <v>6</v>
      </c>
    </row>
    <row r="863" spans="1:5" x14ac:dyDescent="0.25">
      <c r="A863" t="s">
        <v>1697</v>
      </c>
      <c r="B863" t="s">
        <v>1698</v>
      </c>
      <c r="C863">
        <v>8</v>
      </c>
      <c r="D863">
        <v>2270.8000000000002</v>
      </c>
      <c r="E863">
        <v>6</v>
      </c>
    </row>
    <row r="864" spans="1:5" x14ac:dyDescent="0.25">
      <c r="A864" t="s">
        <v>1699</v>
      </c>
      <c r="B864" t="s">
        <v>1700</v>
      </c>
      <c r="C864">
        <v>6</v>
      </c>
      <c r="D864">
        <v>1703.1</v>
      </c>
      <c r="E864">
        <v>6</v>
      </c>
    </row>
    <row r="865" spans="1:5" x14ac:dyDescent="0.25">
      <c r="A865" t="s">
        <v>1701</v>
      </c>
      <c r="B865" t="s">
        <v>1702</v>
      </c>
      <c r="C865">
        <v>6</v>
      </c>
      <c r="D865">
        <v>1703.1</v>
      </c>
      <c r="E865">
        <v>6</v>
      </c>
    </row>
    <row r="866" spans="1:5" x14ac:dyDescent="0.25">
      <c r="A866" t="s">
        <v>1703</v>
      </c>
      <c r="B866" t="s">
        <v>1704</v>
      </c>
      <c r="C866">
        <v>6</v>
      </c>
      <c r="D866">
        <v>1703.1</v>
      </c>
      <c r="E866">
        <v>6</v>
      </c>
    </row>
    <row r="867" spans="1:5" x14ac:dyDescent="0.25">
      <c r="A867" t="s">
        <v>1705</v>
      </c>
      <c r="B867" t="s">
        <v>1706</v>
      </c>
      <c r="C867">
        <v>3</v>
      </c>
      <c r="D867">
        <v>851.6</v>
      </c>
      <c r="E867">
        <v>6</v>
      </c>
    </row>
    <row r="868" spans="1:5" x14ac:dyDescent="0.25">
      <c r="A868" t="s">
        <v>1707</v>
      </c>
      <c r="B868" t="s">
        <v>1708</v>
      </c>
      <c r="C868">
        <v>4</v>
      </c>
      <c r="D868">
        <v>1135.4000000000001</v>
      </c>
      <c r="E868">
        <v>6</v>
      </c>
    </row>
    <row r="869" spans="1:5" x14ac:dyDescent="0.25">
      <c r="A869" t="s">
        <v>1709</v>
      </c>
      <c r="B869" t="s">
        <v>1710</v>
      </c>
      <c r="C869">
        <v>6</v>
      </c>
      <c r="D869">
        <v>1703.1</v>
      </c>
      <c r="E869">
        <v>2</v>
      </c>
    </row>
    <row r="870" spans="1:5" x14ac:dyDescent="0.25">
      <c r="A870" t="s">
        <v>1711</v>
      </c>
      <c r="B870" t="s">
        <v>1712</v>
      </c>
      <c r="C870">
        <v>6</v>
      </c>
      <c r="D870">
        <v>1703.1</v>
      </c>
      <c r="E870">
        <v>2</v>
      </c>
    </row>
    <row r="871" spans="1:5" x14ac:dyDescent="0.25">
      <c r="A871" t="s">
        <v>1713</v>
      </c>
      <c r="B871" t="s">
        <v>1714</v>
      </c>
      <c r="C871">
        <v>6</v>
      </c>
      <c r="D871">
        <v>1703.1</v>
      </c>
      <c r="E871">
        <v>6</v>
      </c>
    </row>
    <row r="872" spans="1:5" x14ac:dyDescent="0.25">
      <c r="A872" t="s">
        <v>1715</v>
      </c>
      <c r="B872" t="s">
        <v>1716</v>
      </c>
      <c r="C872">
        <v>6</v>
      </c>
      <c r="D872">
        <v>1703.1</v>
      </c>
      <c r="E872">
        <v>6</v>
      </c>
    </row>
    <row r="873" spans="1:5" x14ac:dyDescent="0.25">
      <c r="A873" t="s">
        <v>1717</v>
      </c>
      <c r="B873" t="s">
        <v>1718</v>
      </c>
      <c r="C873">
        <v>6</v>
      </c>
      <c r="D873">
        <v>1703.1</v>
      </c>
      <c r="E873">
        <v>6</v>
      </c>
    </row>
    <row r="874" spans="1:5" x14ac:dyDescent="0.25">
      <c r="A874" t="s">
        <v>1719</v>
      </c>
      <c r="B874" t="s">
        <v>1720</v>
      </c>
      <c r="C874">
        <v>5</v>
      </c>
      <c r="D874">
        <v>1419.3</v>
      </c>
      <c r="E874">
        <v>6</v>
      </c>
    </row>
    <row r="875" spans="1:5" x14ac:dyDescent="0.25">
      <c r="A875" t="s">
        <v>1721</v>
      </c>
      <c r="B875" t="s">
        <v>1722</v>
      </c>
      <c r="C875">
        <v>5</v>
      </c>
      <c r="D875">
        <v>1419.3</v>
      </c>
      <c r="E875">
        <v>2</v>
      </c>
    </row>
    <row r="876" spans="1:5" x14ac:dyDescent="0.25">
      <c r="A876" t="s">
        <v>1723</v>
      </c>
      <c r="B876" t="s">
        <v>1724</v>
      </c>
      <c r="C876">
        <v>5</v>
      </c>
      <c r="D876">
        <v>1419.3</v>
      </c>
      <c r="E876">
        <v>2</v>
      </c>
    </row>
    <row r="877" spans="1:5" x14ac:dyDescent="0.25">
      <c r="A877" t="s">
        <v>1725</v>
      </c>
      <c r="B877" t="s">
        <v>1726</v>
      </c>
      <c r="C877">
        <v>5</v>
      </c>
      <c r="D877">
        <v>1419.3</v>
      </c>
      <c r="E877">
        <v>2</v>
      </c>
    </row>
    <row r="878" spans="1:5" x14ac:dyDescent="0.25">
      <c r="A878" t="s">
        <v>1727</v>
      </c>
      <c r="B878" t="s">
        <v>1728</v>
      </c>
      <c r="C878">
        <v>5</v>
      </c>
      <c r="D878">
        <v>1419.3</v>
      </c>
      <c r="E878">
        <v>2</v>
      </c>
    </row>
    <row r="879" spans="1:5" x14ac:dyDescent="0.25">
      <c r="A879" t="s">
        <v>1729</v>
      </c>
      <c r="B879" t="s">
        <v>1730</v>
      </c>
      <c r="C879">
        <v>5</v>
      </c>
      <c r="D879">
        <v>1419.3</v>
      </c>
      <c r="E879">
        <v>6</v>
      </c>
    </row>
    <row r="880" spans="1:5" x14ac:dyDescent="0.25">
      <c r="A880" t="s">
        <v>1731</v>
      </c>
      <c r="B880" t="s">
        <v>1732</v>
      </c>
      <c r="C880">
        <v>5</v>
      </c>
      <c r="D880">
        <v>1419.3</v>
      </c>
      <c r="E880">
        <v>2</v>
      </c>
    </row>
    <row r="881" spans="1:5" x14ac:dyDescent="0.25">
      <c r="A881" t="s">
        <v>1733</v>
      </c>
      <c r="B881" t="s">
        <v>1734</v>
      </c>
      <c r="C881">
        <v>6</v>
      </c>
      <c r="D881">
        <v>1703.1</v>
      </c>
      <c r="E881">
        <v>6</v>
      </c>
    </row>
    <row r="882" spans="1:5" x14ac:dyDescent="0.25">
      <c r="A882" t="s">
        <v>1735</v>
      </c>
      <c r="B882" t="s">
        <v>1736</v>
      </c>
      <c r="C882">
        <v>6</v>
      </c>
      <c r="D882">
        <v>1703.1</v>
      </c>
      <c r="E882">
        <v>6</v>
      </c>
    </row>
    <row r="883" spans="1:5" x14ac:dyDescent="0.25">
      <c r="A883" t="s">
        <v>1737</v>
      </c>
      <c r="B883" t="s">
        <v>1738</v>
      </c>
      <c r="C883">
        <v>4</v>
      </c>
      <c r="D883">
        <v>1135.4000000000001</v>
      </c>
      <c r="E883">
        <v>6</v>
      </c>
    </row>
    <row r="884" spans="1:5" x14ac:dyDescent="0.25">
      <c r="A884" t="s">
        <v>1739</v>
      </c>
      <c r="B884" t="s">
        <v>1740</v>
      </c>
      <c r="C884">
        <v>6</v>
      </c>
      <c r="D884">
        <v>1703.1</v>
      </c>
      <c r="E884">
        <v>6</v>
      </c>
    </row>
    <row r="885" spans="1:5" x14ac:dyDescent="0.25">
      <c r="A885" t="s">
        <v>1741</v>
      </c>
      <c r="B885" t="s">
        <v>1742</v>
      </c>
      <c r="C885">
        <v>4</v>
      </c>
      <c r="D885">
        <v>1135.4000000000001</v>
      </c>
      <c r="E885">
        <v>6</v>
      </c>
    </row>
    <row r="886" spans="1:5" x14ac:dyDescent="0.25">
      <c r="A886" t="s">
        <v>1743</v>
      </c>
      <c r="B886" t="s">
        <v>1744</v>
      </c>
      <c r="C886">
        <v>6</v>
      </c>
      <c r="D886">
        <v>1703.1</v>
      </c>
      <c r="E886">
        <v>6</v>
      </c>
    </row>
    <row r="887" spans="1:5" x14ac:dyDescent="0.25">
      <c r="A887" t="s">
        <v>1745</v>
      </c>
      <c r="B887" t="s">
        <v>1746</v>
      </c>
      <c r="C887">
        <v>6</v>
      </c>
      <c r="D887">
        <v>1703.1</v>
      </c>
      <c r="E887">
        <v>6</v>
      </c>
    </row>
    <row r="888" spans="1:5" x14ac:dyDescent="0.25">
      <c r="A888" t="s">
        <v>1747</v>
      </c>
      <c r="B888" t="s">
        <v>1748</v>
      </c>
      <c r="C888">
        <v>6</v>
      </c>
      <c r="D888">
        <v>1703.1</v>
      </c>
      <c r="E888">
        <v>6</v>
      </c>
    </row>
    <row r="889" spans="1:5" x14ac:dyDescent="0.25">
      <c r="A889" t="s">
        <v>1749</v>
      </c>
      <c r="B889" t="s">
        <v>1750</v>
      </c>
      <c r="C889">
        <v>6</v>
      </c>
      <c r="D889">
        <v>1703.1</v>
      </c>
      <c r="E889">
        <v>6</v>
      </c>
    </row>
    <row r="890" spans="1:5" x14ac:dyDescent="0.25">
      <c r="A890" t="s">
        <v>1751</v>
      </c>
      <c r="B890" t="s">
        <v>1752</v>
      </c>
      <c r="C890">
        <v>6</v>
      </c>
      <c r="D890">
        <v>1703.1</v>
      </c>
      <c r="E890">
        <v>6</v>
      </c>
    </row>
    <row r="891" spans="1:5" x14ac:dyDescent="0.25">
      <c r="A891" t="s">
        <v>1753</v>
      </c>
      <c r="B891" t="s">
        <v>1754</v>
      </c>
      <c r="C891">
        <v>8</v>
      </c>
      <c r="D891">
        <v>2270.8000000000002</v>
      </c>
      <c r="E891">
        <v>6</v>
      </c>
    </row>
    <row r="892" spans="1:5" x14ac:dyDescent="0.25">
      <c r="A892" t="s">
        <v>1755</v>
      </c>
      <c r="B892" t="s">
        <v>1756</v>
      </c>
      <c r="C892">
        <v>5</v>
      </c>
      <c r="D892">
        <v>1419.3</v>
      </c>
      <c r="E892">
        <v>6</v>
      </c>
    </row>
    <row r="893" spans="1:5" x14ac:dyDescent="0.25">
      <c r="A893" t="s">
        <v>1757</v>
      </c>
      <c r="B893" t="s">
        <v>1758</v>
      </c>
      <c r="C893">
        <v>5</v>
      </c>
      <c r="D893">
        <v>1419.3</v>
      </c>
      <c r="E893">
        <v>6</v>
      </c>
    </row>
    <row r="894" spans="1:5" x14ac:dyDescent="0.25">
      <c r="A894" t="s">
        <v>1759</v>
      </c>
      <c r="B894" t="s">
        <v>1760</v>
      </c>
      <c r="C894">
        <v>6</v>
      </c>
      <c r="D894">
        <v>1703.1</v>
      </c>
      <c r="E894">
        <v>2</v>
      </c>
    </row>
    <row r="895" spans="1:5" x14ac:dyDescent="0.25">
      <c r="A895" t="s">
        <v>1761</v>
      </c>
      <c r="B895" t="s">
        <v>1762</v>
      </c>
      <c r="C895">
        <v>8</v>
      </c>
      <c r="D895">
        <v>2270.8000000000002</v>
      </c>
      <c r="E895">
        <v>2</v>
      </c>
    </row>
    <row r="896" spans="1:5" x14ac:dyDescent="0.25">
      <c r="A896" t="s">
        <v>1763</v>
      </c>
      <c r="B896" t="s">
        <v>1764</v>
      </c>
      <c r="C896">
        <v>6</v>
      </c>
      <c r="D896">
        <v>1703.1</v>
      </c>
      <c r="E896">
        <v>6</v>
      </c>
    </row>
    <row r="897" spans="1:5" x14ac:dyDescent="0.25">
      <c r="A897" t="s">
        <v>1765</v>
      </c>
      <c r="B897" t="s">
        <v>1766</v>
      </c>
      <c r="C897">
        <v>6</v>
      </c>
      <c r="D897">
        <v>1703.1</v>
      </c>
      <c r="E897">
        <v>6</v>
      </c>
    </row>
    <row r="898" spans="1:5" x14ac:dyDescent="0.25">
      <c r="A898" t="s">
        <v>1767</v>
      </c>
      <c r="B898" t="s">
        <v>1768</v>
      </c>
      <c r="C898">
        <v>8</v>
      </c>
      <c r="D898">
        <v>2270.8000000000002</v>
      </c>
      <c r="E898">
        <v>12</v>
      </c>
    </row>
    <row r="899" spans="1:5" x14ac:dyDescent="0.25">
      <c r="A899" t="s">
        <v>1769</v>
      </c>
      <c r="B899" t="s">
        <v>1770</v>
      </c>
      <c r="C899">
        <v>4</v>
      </c>
      <c r="D899">
        <v>1135.4000000000001</v>
      </c>
      <c r="E899">
        <v>6</v>
      </c>
    </row>
    <row r="900" spans="1:5" x14ac:dyDescent="0.25">
      <c r="A900" t="s">
        <v>1771</v>
      </c>
      <c r="B900" t="s">
        <v>1772</v>
      </c>
      <c r="C900">
        <v>4</v>
      </c>
      <c r="D900">
        <v>1135.4000000000001</v>
      </c>
      <c r="E900">
        <v>6</v>
      </c>
    </row>
    <row r="901" spans="1:5" x14ac:dyDescent="0.25">
      <c r="A901" t="s">
        <v>1773</v>
      </c>
      <c r="B901" t="s">
        <v>1774</v>
      </c>
      <c r="C901">
        <v>4</v>
      </c>
      <c r="D901">
        <v>1135.4000000000001</v>
      </c>
      <c r="E901">
        <v>6</v>
      </c>
    </row>
    <row r="902" spans="1:5" x14ac:dyDescent="0.25">
      <c r="A902" t="s">
        <v>1775</v>
      </c>
      <c r="B902" t="s">
        <v>1776</v>
      </c>
      <c r="C902">
        <v>4</v>
      </c>
      <c r="D902">
        <v>1135.4000000000001</v>
      </c>
      <c r="E902">
        <v>6</v>
      </c>
    </row>
    <row r="903" spans="1:5" x14ac:dyDescent="0.25">
      <c r="A903" t="s">
        <v>1777</v>
      </c>
      <c r="B903" t="s">
        <v>1778</v>
      </c>
      <c r="C903">
        <v>4</v>
      </c>
      <c r="D903">
        <v>1135.4000000000001</v>
      </c>
      <c r="E903">
        <v>6</v>
      </c>
    </row>
    <row r="904" spans="1:5" x14ac:dyDescent="0.25">
      <c r="A904" t="s">
        <v>1779</v>
      </c>
      <c r="B904" t="s">
        <v>1780</v>
      </c>
      <c r="C904">
        <v>4</v>
      </c>
      <c r="D904">
        <v>1135.4000000000001</v>
      </c>
      <c r="E904">
        <v>6</v>
      </c>
    </row>
    <row r="905" spans="1:5" x14ac:dyDescent="0.25">
      <c r="A905" t="s">
        <v>1781</v>
      </c>
      <c r="B905" t="s">
        <v>1782</v>
      </c>
      <c r="C905">
        <v>6</v>
      </c>
      <c r="D905">
        <v>1703.1</v>
      </c>
      <c r="E905">
        <v>6</v>
      </c>
    </row>
    <row r="906" spans="1:5" x14ac:dyDescent="0.25">
      <c r="A906" t="s">
        <v>1783</v>
      </c>
      <c r="B906" t="s">
        <v>1784</v>
      </c>
      <c r="C906">
        <v>4</v>
      </c>
      <c r="D906">
        <v>1135.4000000000001</v>
      </c>
      <c r="E906">
        <v>6</v>
      </c>
    </row>
    <row r="907" spans="1:5" x14ac:dyDescent="0.25">
      <c r="A907" t="s">
        <v>1785</v>
      </c>
      <c r="B907" t="s">
        <v>1786</v>
      </c>
      <c r="C907">
        <v>4</v>
      </c>
      <c r="D907">
        <v>1135.4000000000001</v>
      </c>
      <c r="E907">
        <v>6</v>
      </c>
    </row>
    <row r="908" spans="1:5" x14ac:dyDescent="0.25">
      <c r="A908" t="s">
        <v>1787</v>
      </c>
      <c r="B908" t="s">
        <v>1788</v>
      </c>
      <c r="C908">
        <v>6</v>
      </c>
      <c r="D908">
        <v>1703.1</v>
      </c>
      <c r="E908">
        <v>6</v>
      </c>
    </row>
    <row r="909" spans="1:5" x14ac:dyDescent="0.25">
      <c r="A909" t="s">
        <v>1789</v>
      </c>
      <c r="B909" t="s">
        <v>1790</v>
      </c>
      <c r="C909">
        <v>6</v>
      </c>
      <c r="D909">
        <v>1703.1</v>
      </c>
      <c r="E909">
        <v>6</v>
      </c>
    </row>
    <row r="910" spans="1:5" x14ac:dyDescent="0.25">
      <c r="A910" t="s">
        <v>1791</v>
      </c>
      <c r="B910" t="s">
        <v>1792</v>
      </c>
      <c r="C910">
        <v>9</v>
      </c>
      <c r="D910">
        <v>2554.6999999999998</v>
      </c>
      <c r="E910">
        <v>6</v>
      </c>
    </row>
    <row r="911" spans="1:5" x14ac:dyDescent="0.25">
      <c r="A911" t="s">
        <v>1793</v>
      </c>
      <c r="B911" t="s">
        <v>1794</v>
      </c>
      <c r="C911">
        <v>8</v>
      </c>
      <c r="D911">
        <v>2270.8000000000002</v>
      </c>
      <c r="E911">
        <v>6</v>
      </c>
    </row>
    <row r="912" spans="1:5" x14ac:dyDescent="0.25">
      <c r="A912" t="s">
        <v>1795</v>
      </c>
      <c r="B912" t="s">
        <v>1796</v>
      </c>
      <c r="C912">
        <v>9</v>
      </c>
      <c r="D912">
        <v>2554.6999999999998</v>
      </c>
      <c r="E912">
        <v>6</v>
      </c>
    </row>
    <row r="913" spans="1:5" x14ac:dyDescent="0.25">
      <c r="A913" t="s">
        <v>1797</v>
      </c>
      <c r="B913" t="s">
        <v>1798</v>
      </c>
      <c r="C913">
        <v>4</v>
      </c>
      <c r="D913">
        <v>1135.4000000000001</v>
      </c>
      <c r="E913">
        <v>1</v>
      </c>
    </row>
    <row r="914" spans="1:5" x14ac:dyDescent="0.25">
      <c r="A914" t="s">
        <v>1799</v>
      </c>
      <c r="B914" t="s">
        <v>1800</v>
      </c>
      <c r="C914">
        <v>4</v>
      </c>
      <c r="D914">
        <v>1135.4000000000001</v>
      </c>
      <c r="E914">
        <v>8</v>
      </c>
    </row>
    <row r="915" spans="1:5" x14ac:dyDescent="0.25">
      <c r="A915" t="s">
        <v>1801</v>
      </c>
      <c r="B915" t="s">
        <v>1802</v>
      </c>
      <c r="C915">
        <v>4</v>
      </c>
      <c r="D915">
        <v>1135.4000000000001</v>
      </c>
      <c r="E915">
        <v>8</v>
      </c>
    </row>
    <row r="916" spans="1:5" x14ac:dyDescent="0.25">
      <c r="A916" t="s">
        <v>1803</v>
      </c>
      <c r="B916" t="s">
        <v>1804</v>
      </c>
      <c r="C916">
        <v>8</v>
      </c>
      <c r="D916">
        <v>2270.8000000000002</v>
      </c>
      <c r="E916">
        <v>11</v>
      </c>
    </row>
    <row r="917" spans="1:5" x14ac:dyDescent="0.25">
      <c r="A917" t="s">
        <v>1805</v>
      </c>
      <c r="B917" t="s">
        <v>1806</v>
      </c>
      <c r="C917">
        <v>8</v>
      </c>
      <c r="D917">
        <v>2270.8000000000002</v>
      </c>
      <c r="E917">
        <v>5</v>
      </c>
    </row>
    <row r="918" spans="1:5" x14ac:dyDescent="0.25">
      <c r="A918" t="s">
        <v>1807</v>
      </c>
      <c r="B918" t="s">
        <v>1808</v>
      </c>
      <c r="C918">
        <v>8</v>
      </c>
      <c r="D918">
        <v>2270.8000000000002</v>
      </c>
      <c r="E918">
        <v>0</v>
      </c>
    </row>
    <row r="919" spans="1:5" x14ac:dyDescent="0.25">
      <c r="A919" t="s">
        <v>1809</v>
      </c>
      <c r="B919" t="s">
        <v>1810</v>
      </c>
      <c r="C919">
        <v>8</v>
      </c>
      <c r="D919">
        <v>2270.8000000000002</v>
      </c>
      <c r="E919">
        <v>5</v>
      </c>
    </row>
    <row r="920" spans="1:5" x14ac:dyDescent="0.25">
      <c r="A920" t="s">
        <v>1811</v>
      </c>
      <c r="B920" t="s">
        <v>1812</v>
      </c>
      <c r="C920">
        <v>6</v>
      </c>
      <c r="D920">
        <v>1703.1</v>
      </c>
      <c r="E920">
        <v>5</v>
      </c>
    </row>
    <row r="921" spans="1:5" x14ac:dyDescent="0.25">
      <c r="A921" t="s">
        <v>1813</v>
      </c>
      <c r="B921" t="s">
        <v>1814</v>
      </c>
      <c r="C921">
        <v>4</v>
      </c>
      <c r="D921">
        <v>1135.4000000000001</v>
      </c>
      <c r="E921">
        <v>5</v>
      </c>
    </row>
    <row r="922" spans="1:5" x14ac:dyDescent="0.25">
      <c r="A922" t="s">
        <v>1815</v>
      </c>
      <c r="B922" t="s">
        <v>1816</v>
      </c>
      <c r="C922">
        <v>36</v>
      </c>
      <c r="D922">
        <v>1439.4</v>
      </c>
      <c r="E922">
        <v>5</v>
      </c>
    </row>
    <row r="923" spans="1:5" x14ac:dyDescent="0.25">
      <c r="A923" t="s">
        <v>1817</v>
      </c>
      <c r="B923" t="s">
        <v>1818</v>
      </c>
      <c r="C923">
        <v>25</v>
      </c>
      <c r="D923">
        <v>999.6</v>
      </c>
      <c r="E923">
        <v>5</v>
      </c>
    </row>
    <row r="924" spans="1:5" x14ac:dyDescent="0.25">
      <c r="A924" t="s">
        <v>1819</v>
      </c>
      <c r="B924" t="s">
        <v>1820</v>
      </c>
      <c r="C924">
        <v>3</v>
      </c>
      <c r="D924">
        <v>851.6</v>
      </c>
      <c r="E924">
        <v>5</v>
      </c>
    </row>
    <row r="925" spans="1:5" x14ac:dyDescent="0.25">
      <c r="A925" t="s">
        <v>1821</v>
      </c>
      <c r="B925" t="s">
        <v>1822</v>
      </c>
      <c r="C925">
        <v>10</v>
      </c>
      <c r="D925">
        <v>399.8</v>
      </c>
      <c r="E925">
        <v>11</v>
      </c>
    </row>
    <row r="926" spans="1:5" x14ac:dyDescent="0.25">
      <c r="A926" t="s">
        <v>1823</v>
      </c>
      <c r="B926" t="s">
        <v>1824</v>
      </c>
      <c r="C926">
        <v>3</v>
      </c>
      <c r="D926">
        <v>851.6</v>
      </c>
      <c r="E926">
        <v>5</v>
      </c>
    </row>
    <row r="927" spans="1:5" x14ac:dyDescent="0.25">
      <c r="A927" t="s">
        <v>1825</v>
      </c>
      <c r="B927" t="s">
        <v>1826</v>
      </c>
      <c r="C927">
        <v>3</v>
      </c>
      <c r="D927">
        <v>851.6</v>
      </c>
      <c r="E927">
        <v>5</v>
      </c>
    </row>
    <row r="928" spans="1:5" x14ac:dyDescent="0.25">
      <c r="A928" t="s">
        <v>1827</v>
      </c>
      <c r="B928" t="s">
        <v>1828</v>
      </c>
      <c r="C928">
        <v>3</v>
      </c>
      <c r="D928">
        <v>851.6</v>
      </c>
      <c r="E928">
        <v>8</v>
      </c>
    </row>
    <row r="929" spans="1:5" x14ac:dyDescent="0.25">
      <c r="A929" t="s">
        <v>1829</v>
      </c>
      <c r="B929" t="s">
        <v>1830</v>
      </c>
      <c r="C929">
        <v>6</v>
      </c>
      <c r="D929">
        <v>1703.1</v>
      </c>
      <c r="E929">
        <v>5</v>
      </c>
    </row>
    <row r="930" spans="1:5" x14ac:dyDescent="0.25">
      <c r="A930" t="s">
        <v>1831</v>
      </c>
      <c r="B930" t="s">
        <v>1832</v>
      </c>
      <c r="C930">
        <v>6</v>
      </c>
      <c r="D930">
        <v>1703.1</v>
      </c>
      <c r="E930">
        <v>5</v>
      </c>
    </row>
    <row r="931" spans="1:5" x14ac:dyDescent="0.25">
      <c r="A931" t="s">
        <v>1833</v>
      </c>
      <c r="B931" t="s">
        <v>1834</v>
      </c>
      <c r="C931">
        <v>3</v>
      </c>
      <c r="D931">
        <v>851.6</v>
      </c>
      <c r="E931">
        <v>8</v>
      </c>
    </row>
    <row r="932" spans="1:5" x14ac:dyDescent="0.25">
      <c r="A932" t="s">
        <v>1835</v>
      </c>
      <c r="B932" t="s">
        <v>1836</v>
      </c>
      <c r="C932">
        <v>11</v>
      </c>
      <c r="D932">
        <v>3122.4</v>
      </c>
      <c r="E932">
        <v>6</v>
      </c>
    </row>
    <row r="933" spans="1:5" x14ac:dyDescent="0.25">
      <c r="A933" t="s">
        <v>1837</v>
      </c>
      <c r="B933" t="s">
        <v>1838</v>
      </c>
      <c r="C933">
        <v>4</v>
      </c>
      <c r="D933">
        <v>1135.4000000000001</v>
      </c>
      <c r="E933">
        <v>6</v>
      </c>
    </row>
    <row r="934" spans="1:5" x14ac:dyDescent="0.25">
      <c r="A934" t="s">
        <v>1839</v>
      </c>
      <c r="B934" t="s">
        <v>1840</v>
      </c>
      <c r="C934">
        <v>6</v>
      </c>
      <c r="D934">
        <v>1703.1</v>
      </c>
      <c r="E934">
        <v>6</v>
      </c>
    </row>
    <row r="935" spans="1:5" x14ac:dyDescent="0.25">
      <c r="A935" t="s">
        <v>1841</v>
      </c>
      <c r="B935" t="s">
        <v>1842</v>
      </c>
      <c r="C935">
        <v>4</v>
      </c>
      <c r="D935">
        <v>1135.4000000000001</v>
      </c>
      <c r="E935">
        <v>5</v>
      </c>
    </row>
    <row r="936" spans="1:5" x14ac:dyDescent="0.25">
      <c r="A936" t="s">
        <v>1843</v>
      </c>
      <c r="B936" t="s">
        <v>1844</v>
      </c>
      <c r="C936">
        <v>5</v>
      </c>
      <c r="D936">
        <v>1419.3</v>
      </c>
      <c r="E936">
        <v>5</v>
      </c>
    </row>
    <row r="937" spans="1:5" x14ac:dyDescent="0.25">
      <c r="A937" t="s">
        <v>1845</v>
      </c>
      <c r="B937" t="s">
        <v>1846</v>
      </c>
      <c r="C937">
        <v>8</v>
      </c>
      <c r="D937">
        <v>2270.8000000000002</v>
      </c>
      <c r="E937">
        <v>5</v>
      </c>
    </row>
    <row r="938" spans="1:5" x14ac:dyDescent="0.25">
      <c r="A938" t="s">
        <v>1847</v>
      </c>
      <c r="B938" t="s">
        <v>1848</v>
      </c>
      <c r="C938">
        <v>8</v>
      </c>
      <c r="D938">
        <v>2270.8000000000002</v>
      </c>
      <c r="E938">
        <v>8</v>
      </c>
    </row>
    <row r="939" spans="1:5" x14ac:dyDescent="0.25">
      <c r="A939" t="s">
        <v>1849</v>
      </c>
      <c r="B939" t="s">
        <v>1850</v>
      </c>
      <c r="C939">
        <v>8</v>
      </c>
      <c r="D939">
        <v>2270.8000000000002</v>
      </c>
      <c r="E939">
        <v>8</v>
      </c>
    </row>
    <row r="940" spans="1:5" x14ac:dyDescent="0.25">
      <c r="A940" t="s">
        <v>1851</v>
      </c>
      <c r="B940" t="s">
        <v>1852</v>
      </c>
      <c r="C940">
        <v>8</v>
      </c>
      <c r="D940">
        <v>2270.8000000000002</v>
      </c>
      <c r="E940">
        <v>8</v>
      </c>
    </row>
    <row r="941" spans="1:5" x14ac:dyDescent="0.25">
      <c r="A941" t="s">
        <v>1853</v>
      </c>
      <c r="B941" t="s">
        <v>1854</v>
      </c>
      <c r="C941">
        <v>8</v>
      </c>
      <c r="D941">
        <v>2270.8000000000002</v>
      </c>
      <c r="E941">
        <v>8</v>
      </c>
    </row>
    <row r="942" spans="1:5" x14ac:dyDescent="0.25">
      <c r="A942" t="s">
        <v>1855</v>
      </c>
      <c r="B942" t="s">
        <v>1856</v>
      </c>
      <c r="C942">
        <v>11</v>
      </c>
      <c r="D942">
        <v>3122.4</v>
      </c>
      <c r="E942">
        <v>5</v>
      </c>
    </row>
    <row r="943" spans="1:5" x14ac:dyDescent="0.25">
      <c r="A943" t="s">
        <v>1857</v>
      </c>
      <c r="B943" t="s">
        <v>1858</v>
      </c>
      <c r="C943">
        <v>8</v>
      </c>
      <c r="D943">
        <v>2270.8000000000002</v>
      </c>
      <c r="E943">
        <v>5</v>
      </c>
    </row>
    <row r="944" spans="1:5" x14ac:dyDescent="0.25">
      <c r="A944" t="s">
        <v>1859</v>
      </c>
      <c r="B944" t="s">
        <v>1860</v>
      </c>
      <c r="C944">
        <v>8</v>
      </c>
      <c r="D944">
        <v>2270.8000000000002</v>
      </c>
      <c r="E944">
        <v>5</v>
      </c>
    </row>
    <row r="945" spans="1:5" x14ac:dyDescent="0.25">
      <c r="A945" t="s">
        <v>1861</v>
      </c>
      <c r="B945" t="s">
        <v>1862</v>
      </c>
      <c r="C945">
        <v>15</v>
      </c>
      <c r="D945">
        <v>4257.8</v>
      </c>
      <c r="E945">
        <v>5</v>
      </c>
    </row>
    <row r="946" spans="1:5" x14ac:dyDescent="0.25">
      <c r="A946" t="s">
        <v>1863</v>
      </c>
      <c r="B946" t="s">
        <v>1864</v>
      </c>
      <c r="C946">
        <v>15</v>
      </c>
      <c r="D946">
        <v>4257.8</v>
      </c>
      <c r="E946">
        <v>5</v>
      </c>
    </row>
    <row r="947" spans="1:5" x14ac:dyDescent="0.25">
      <c r="A947" t="s">
        <v>1865</v>
      </c>
      <c r="B947" t="s">
        <v>1866</v>
      </c>
      <c r="C947">
        <v>15</v>
      </c>
      <c r="D947">
        <v>4257.8</v>
      </c>
      <c r="E947">
        <v>12</v>
      </c>
    </row>
    <row r="948" spans="1:5" x14ac:dyDescent="0.25">
      <c r="A948" t="s">
        <v>1867</v>
      </c>
      <c r="B948" t="s">
        <v>1868</v>
      </c>
      <c r="C948">
        <v>6</v>
      </c>
      <c r="D948">
        <v>1703.1</v>
      </c>
      <c r="E948">
        <v>1</v>
      </c>
    </row>
    <row r="949" spans="1:5" x14ac:dyDescent="0.25">
      <c r="A949" t="s">
        <v>1869</v>
      </c>
      <c r="B949" t="s">
        <v>1870</v>
      </c>
      <c r="C949">
        <v>8</v>
      </c>
      <c r="D949">
        <v>2270.8000000000002</v>
      </c>
      <c r="E949">
        <v>5</v>
      </c>
    </row>
    <row r="950" spans="1:5" x14ac:dyDescent="0.25">
      <c r="A950" t="s">
        <v>1871</v>
      </c>
      <c r="B950" t="s">
        <v>1872</v>
      </c>
      <c r="C950">
        <v>9</v>
      </c>
      <c r="D950">
        <v>2554.6999999999998</v>
      </c>
      <c r="E950">
        <v>8</v>
      </c>
    </row>
    <row r="951" spans="1:5" x14ac:dyDescent="0.25">
      <c r="A951" t="s">
        <v>1873</v>
      </c>
      <c r="B951" t="s">
        <v>1874</v>
      </c>
      <c r="C951">
        <v>9</v>
      </c>
      <c r="D951">
        <v>2554.6999999999998</v>
      </c>
      <c r="E951">
        <v>1</v>
      </c>
    </row>
    <row r="952" spans="1:5" x14ac:dyDescent="0.25">
      <c r="A952" t="s">
        <v>1875</v>
      </c>
      <c r="B952" t="s">
        <v>1876</v>
      </c>
      <c r="C952">
        <v>11</v>
      </c>
      <c r="D952">
        <v>3122.4</v>
      </c>
      <c r="E952">
        <v>1</v>
      </c>
    </row>
    <row r="953" spans="1:5" x14ac:dyDescent="0.25">
      <c r="A953" t="s">
        <v>1877</v>
      </c>
      <c r="B953" t="s">
        <v>1878</v>
      </c>
      <c r="C953">
        <v>11</v>
      </c>
      <c r="D953">
        <v>3122.4</v>
      </c>
      <c r="E953">
        <v>5</v>
      </c>
    </row>
    <row r="954" spans="1:5" x14ac:dyDescent="0.25">
      <c r="A954" t="s">
        <v>1879</v>
      </c>
      <c r="B954" t="s">
        <v>1880</v>
      </c>
      <c r="C954">
        <v>11</v>
      </c>
      <c r="D954">
        <v>3122.4</v>
      </c>
      <c r="E954">
        <v>5</v>
      </c>
    </row>
    <row r="955" spans="1:5" x14ac:dyDescent="0.25">
      <c r="A955" t="s">
        <v>1881</v>
      </c>
      <c r="B955" t="s">
        <v>1882</v>
      </c>
      <c r="C955">
        <v>11</v>
      </c>
      <c r="D955">
        <v>3122.4</v>
      </c>
      <c r="E955">
        <v>5</v>
      </c>
    </row>
    <row r="956" spans="1:5" x14ac:dyDescent="0.25">
      <c r="A956" t="s">
        <v>1883</v>
      </c>
      <c r="B956" t="s">
        <v>1884</v>
      </c>
      <c r="C956">
        <v>11</v>
      </c>
      <c r="D956">
        <v>3122.4</v>
      </c>
      <c r="E956">
        <v>1</v>
      </c>
    </row>
    <row r="957" spans="1:5" x14ac:dyDescent="0.25">
      <c r="A957" t="s">
        <v>1885</v>
      </c>
      <c r="B957" t="s">
        <v>1886</v>
      </c>
      <c r="C957">
        <v>11</v>
      </c>
      <c r="D957">
        <v>3122.4</v>
      </c>
      <c r="E957">
        <v>5</v>
      </c>
    </row>
    <row r="958" spans="1:5" x14ac:dyDescent="0.25">
      <c r="A958" t="s">
        <v>1887</v>
      </c>
      <c r="B958" t="s">
        <v>1888</v>
      </c>
      <c r="C958">
        <v>11</v>
      </c>
      <c r="D958">
        <v>3122.4</v>
      </c>
      <c r="E958">
        <v>5</v>
      </c>
    </row>
    <row r="959" spans="1:5" x14ac:dyDescent="0.25">
      <c r="A959" t="s">
        <v>1889</v>
      </c>
      <c r="B959" t="s">
        <v>1890</v>
      </c>
      <c r="C959">
        <v>11</v>
      </c>
      <c r="D959">
        <v>3122.4</v>
      </c>
      <c r="E959">
        <v>5</v>
      </c>
    </row>
    <row r="960" spans="1:5" x14ac:dyDescent="0.25">
      <c r="A960" t="s">
        <v>1891</v>
      </c>
      <c r="B960" t="s">
        <v>1892</v>
      </c>
      <c r="C960">
        <v>11</v>
      </c>
      <c r="D960">
        <v>3122.4</v>
      </c>
      <c r="E960">
        <v>5</v>
      </c>
    </row>
    <row r="961" spans="1:5" x14ac:dyDescent="0.25">
      <c r="A961" t="s">
        <v>1893</v>
      </c>
      <c r="B961" t="s">
        <v>1894</v>
      </c>
      <c r="C961">
        <v>11</v>
      </c>
      <c r="D961">
        <v>3122.4</v>
      </c>
      <c r="E961">
        <v>5</v>
      </c>
    </row>
    <row r="962" spans="1:5" x14ac:dyDescent="0.25">
      <c r="A962" t="s">
        <v>1895</v>
      </c>
      <c r="B962" t="s">
        <v>1896</v>
      </c>
      <c r="C962">
        <v>11</v>
      </c>
      <c r="D962">
        <v>3122.4</v>
      </c>
      <c r="E962">
        <v>5</v>
      </c>
    </row>
    <row r="963" spans="1:5" x14ac:dyDescent="0.25">
      <c r="A963" t="s">
        <v>1897</v>
      </c>
      <c r="B963" t="s">
        <v>1898</v>
      </c>
      <c r="C963">
        <v>11</v>
      </c>
      <c r="D963">
        <v>3122.4</v>
      </c>
      <c r="E963">
        <v>5</v>
      </c>
    </row>
    <row r="964" spans="1:5" x14ac:dyDescent="0.25">
      <c r="A964" t="s">
        <v>1899</v>
      </c>
      <c r="B964" t="s">
        <v>1900</v>
      </c>
      <c r="C964">
        <v>11</v>
      </c>
      <c r="D964">
        <v>3122.4</v>
      </c>
      <c r="E964">
        <v>5</v>
      </c>
    </row>
    <row r="965" spans="1:5" x14ac:dyDescent="0.25">
      <c r="A965" t="s">
        <v>1901</v>
      </c>
      <c r="B965" t="s">
        <v>1902</v>
      </c>
      <c r="C965">
        <v>4</v>
      </c>
      <c r="D965">
        <v>1135.4000000000001</v>
      </c>
      <c r="E965">
        <v>5</v>
      </c>
    </row>
    <row r="966" spans="1:5" x14ac:dyDescent="0.25">
      <c r="A966" t="s">
        <v>1903</v>
      </c>
      <c r="B966" t="s">
        <v>1904</v>
      </c>
      <c r="C966">
        <v>4</v>
      </c>
      <c r="D966">
        <v>1135.4000000000001</v>
      </c>
      <c r="E966">
        <v>5</v>
      </c>
    </row>
    <row r="967" spans="1:5" x14ac:dyDescent="0.25">
      <c r="A967" t="s">
        <v>1905</v>
      </c>
      <c r="B967" t="s">
        <v>1906</v>
      </c>
      <c r="C967">
        <v>11</v>
      </c>
      <c r="D967">
        <v>3122.4</v>
      </c>
      <c r="E967">
        <v>1</v>
      </c>
    </row>
    <row r="968" spans="1:5" x14ac:dyDescent="0.25">
      <c r="A968" t="s">
        <v>1907</v>
      </c>
      <c r="B968" t="s">
        <v>1908</v>
      </c>
      <c r="C968">
        <v>11</v>
      </c>
      <c r="D968">
        <v>3122.4</v>
      </c>
      <c r="E968">
        <v>1</v>
      </c>
    </row>
    <row r="969" spans="1:5" x14ac:dyDescent="0.25">
      <c r="A969" t="s">
        <v>1909</v>
      </c>
      <c r="B969" t="s">
        <v>1910</v>
      </c>
      <c r="C969">
        <v>9</v>
      </c>
      <c r="D969">
        <v>2554.6999999999998</v>
      </c>
      <c r="E969">
        <v>5</v>
      </c>
    </row>
    <row r="970" spans="1:5" x14ac:dyDescent="0.25">
      <c r="A970" t="s">
        <v>1911</v>
      </c>
      <c r="B970" t="s">
        <v>1912</v>
      </c>
      <c r="C970">
        <v>9</v>
      </c>
      <c r="D970">
        <v>2554.6999999999998</v>
      </c>
      <c r="E970">
        <v>12</v>
      </c>
    </row>
    <row r="971" spans="1:5" x14ac:dyDescent="0.25">
      <c r="A971" t="s">
        <v>1913</v>
      </c>
      <c r="B971" t="s">
        <v>1914</v>
      </c>
      <c r="C971">
        <v>3</v>
      </c>
      <c r="D971">
        <v>851.6</v>
      </c>
      <c r="E971">
        <v>6</v>
      </c>
    </row>
    <row r="972" spans="1:5" x14ac:dyDescent="0.25">
      <c r="A972" t="s">
        <v>1915</v>
      </c>
      <c r="B972" t="s">
        <v>1916</v>
      </c>
      <c r="C972">
        <v>8</v>
      </c>
      <c r="D972">
        <v>2270.8000000000002</v>
      </c>
      <c r="E972">
        <v>12</v>
      </c>
    </row>
    <row r="973" spans="1:5" x14ac:dyDescent="0.25">
      <c r="A973" t="s">
        <v>1917</v>
      </c>
      <c r="B973" t="s">
        <v>1918</v>
      </c>
      <c r="C973">
        <v>8</v>
      </c>
      <c r="D973">
        <v>2270.8000000000002</v>
      </c>
      <c r="E973">
        <v>12</v>
      </c>
    </row>
    <row r="974" spans="1:5" x14ac:dyDescent="0.25">
      <c r="A974" t="s">
        <v>1919</v>
      </c>
      <c r="B974" t="s">
        <v>1920</v>
      </c>
      <c r="C974">
        <v>5</v>
      </c>
      <c r="D974">
        <v>1419.3</v>
      </c>
      <c r="E974">
        <v>0</v>
      </c>
    </row>
    <row r="975" spans="1:5" x14ac:dyDescent="0.25">
      <c r="A975" t="s">
        <v>1921</v>
      </c>
      <c r="B975" t="s">
        <v>1922</v>
      </c>
      <c r="C975">
        <v>5</v>
      </c>
      <c r="D975">
        <v>1419.3</v>
      </c>
      <c r="E975">
        <v>0</v>
      </c>
    </row>
    <row r="976" spans="1:5" x14ac:dyDescent="0.25">
      <c r="A976" t="s">
        <v>1923</v>
      </c>
      <c r="B976" t="s">
        <v>1924</v>
      </c>
      <c r="C976">
        <v>5</v>
      </c>
      <c r="D976">
        <v>1419.3</v>
      </c>
      <c r="E976">
        <v>3</v>
      </c>
    </row>
    <row r="977" spans="1:5" x14ac:dyDescent="0.25">
      <c r="A977" t="s">
        <v>1925</v>
      </c>
      <c r="B977" t="s">
        <v>1926</v>
      </c>
      <c r="C977">
        <v>5</v>
      </c>
      <c r="D977">
        <v>1419.3</v>
      </c>
      <c r="E977">
        <v>3</v>
      </c>
    </row>
    <row r="978" spans="1:5" x14ac:dyDescent="0.25">
      <c r="A978" t="s">
        <v>1927</v>
      </c>
      <c r="B978" t="s">
        <v>1928</v>
      </c>
      <c r="C978">
        <v>5</v>
      </c>
      <c r="D978">
        <v>1419.3</v>
      </c>
      <c r="E978">
        <v>3</v>
      </c>
    </row>
    <row r="979" spans="1:5" x14ac:dyDescent="0.25">
      <c r="A979" t="s">
        <v>1929</v>
      </c>
      <c r="B979" t="s">
        <v>1930</v>
      </c>
      <c r="C979">
        <v>5</v>
      </c>
      <c r="D979">
        <v>1419.3</v>
      </c>
      <c r="E979">
        <v>3</v>
      </c>
    </row>
    <row r="980" spans="1:5" x14ac:dyDescent="0.25">
      <c r="A980" t="s">
        <v>1931</v>
      </c>
      <c r="B980" t="s">
        <v>1932</v>
      </c>
      <c r="C980">
        <v>9</v>
      </c>
      <c r="D980">
        <v>2554.6999999999998</v>
      </c>
      <c r="E980">
        <v>11</v>
      </c>
    </row>
    <row r="981" spans="1:5" x14ac:dyDescent="0.25">
      <c r="A981" t="s">
        <v>1933</v>
      </c>
      <c r="B981" t="s">
        <v>1934</v>
      </c>
      <c r="C981">
        <v>11</v>
      </c>
      <c r="D981">
        <v>3122.4</v>
      </c>
      <c r="E981">
        <v>11</v>
      </c>
    </row>
    <row r="982" spans="1:5" x14ac:dyDescent="0.25">
      <c r="A982" t="s">
        <v>1935</v>
      </c>
      <c r="B982" t="s">
        <v>1936</v>
      </c>
      <c r="C982">
        <v>11</v>
      </c>
      <c r="D982">
        <v>3122.4</v>
      </c>
      <c r="E982">
        <v>1</v>
      </c>
    </row>
    <row r="983" spans="1:5" x14ac:dyDescent="0.25">
      <c r="A983" t="s">
        <v>1937</v>
      </c>
      <c r="B983" t="s">
        <v>1938</v>
      </c>
      <c r="C983">
        <v>11</v>
      </c>
      <c r="D983">
        <v>3122.4</v>
      </c>
      <c r="E983">
        <v>1</v>
      </c>
    </row>
    <row r="984" spans="1:5" x14ac:dyDescent="0.25">
      <c r="A984" t="s">
        <v>1939</v>
      </c>
      <c r="B984" t="s">
        <v>1940</v>
      </c>
      <c r="C984">
        <v>9</v>
      </c>
      <c r="D984">
        <v>2554.6999999999998</v>
      </c>
      <c r="E984">
        <v>7</v>
      </c>
    </row>
    <row r="985" spans="1:5" x14ac:dyDescent="0.25">
      <c r="A985" t="s">
        <v>1941</v>
      </c>
      <c r="B985" t="s">
        <v>1942</v>
      </c>
      <c r="C985">
        <v>9</v>
      </c>
      <c r="D985">
        <v>2554.6999999999998</v>
      </c>
      <c r="E985">
        <v>7</v>
      </c>
    </row>
    <row r="986" spans="1:5" x14ac:dyDescent="0.25">
      <c r="A986" t="s">
        <v>1943</v>
      </c>
      <c r="B986" t="s">
        <v>1944</v>
      </c>
      <c r="C986">
        <v>6</v>
      </c>
      <c r="D986">
        <v>1703.1</v>
      </c>
      <c r="E986">
        <v>7</v>
      </c>
    </row>
    <row r="987" spans="1:5" x14ac:dyDescent="0.25">
      <c r="A987" t="s">
        <v>1945</v>
      </c>
      <c r="B987" t="s">
        <v>1946</v>
      </c>
      <c r="C987">
        <v>6</v>
      </c>
      <c r="D987">
        <v>1703.1</v>
      </c>
      <c r="E987">
        <v>7</v>
      </c>
    </row>
    <row r="988" spans="1:5" x14ac:dyDescent="0.25">
      <c r="A988" t="s">
        <v>1947</v>
      </c>
      <c r="B988" t="s">
        <v>1948</v>
      </c>
      <c r="C988">
        <v>6</v>
      </c>
      <c r="D988">
        <v>1703.1</v>
      </c>
      <c r="E988">
        <v>7</v>
      </c>
    </row>
    <row r="989" spans="1:5" x14ac:dyDescent="0.25">
      <c r="A989" t="s">
        <v>1949</v>
      </c>
      <c r="B989" t="s">
        <v>1950</v>
      </c>
      <c r="C989">
        <v>6</v>
      </c>
      <c r="D989">
        <v>1703.1</v>
      </c>
      <c r="E989">
        <v>7</v>
      </c>
    </row>
    <row r="990" spans="1:5" x14ac:dyDescent="0.25">
      <c r="A990" t="s">
        <v>1951</v>
      </c>
      <c r="B990" t="s">
        <v>1952</v>
      </c>
      <c r="C990">
        <v>7</v>
      </c>
      <c r="D990">
        <v>1987</v>
      </c>
      <c r="E990">
        <v>7</v>
      </c>
    </row>
    <row r="991" spans="1:5" x14ac:dyDescent="0.25">
      <c r="A991" t="s">
        <v>1953</v>
      </c>
      <c r="B991" t="s">
        <v>1954</v>
      </c>
      <c r="C991">
        <v>7</v>
      </c>
      <c r="D991">
        <v>1987</v>
      </c>
      <c r="E991">
        <v>7</v>
      </c>
    </row>
    <row r="992" spans="1:5" x14ac:dyDescent="0.25">
      <c r="A992" t="s">
        <v>1955</v>
      </c>
      <c r="B992" t="s">
        <v>1956</v>
      </c>
      <c r="C992">
        <v>7</v>
      </c>
      <c r="D992">
        <v>1987</v>
      </c>
      <c r="E992">
        <v>7</v>
      </c>
    </row>
    <row r="993" spans="1:5" x14ac:dyDescent="0.25">
      <c r="A993" t="s">
        <v>1957</v>
      </c>
      <c r="B993" t="s">
        <v>1958</v>
      </c>
      <c r="C993">
        <v>7</v>
      </c>
      <c r="D993">
        <v>1987</v>
      </c>
      <c r="E993">
        <v>7</v>
      </c>
    </row>
    <row r="994" spans="1:5" x14ac:dyDescent="0.25">
      <c r="A994" t="s">
        <v>1959</v>
      </c>
      <c r="B994" t="s">
        <v>1960</v>
      </c>
      <c r="C994">
        <v>4</v>
      </c>
      <c r="D994">
        <v>1135.4000000000001</v>
      </c>
      <c r="E994">
        <v>7</v>
      </c>
    </row>
    <row r="995" spans="1:5" x14ac:dyDescent="0.25">
      <c r="A995" t="s">
        <v>1961</v>
      </c>
      <c r="B995" t="s">
        <v>1962</v>
      </c>
      <c r="C995">
        <v>4</v>
      </c>
      <c r="D995">
        <v>1135.4000000000001</v>
      </c>
      <c r="E995">
        <v>7</v>
      </c>
    </row>
    <row r="996" spans="1:5" x14ac:dyDescent="0.25">
      <c r="A996" t="s">
        <v>1963</v>
      </c>
      <c r="B996" t="s">
        <v>1964</v>
      </c>
      <c r="C996">
        <v>7</v>
      </c>
      <c r="D996">
        <v>1987</v>
      </c>
      <c r="E996">
        <v>7</v>
      </c>
    </row>
    <row r="997" spans="1:5" x14ac:dyDescent="0.25">
      <c r="A997" t="s">
        <v>1965</v>
      </c>
      <c r="B997" t="s">
        <v>1966</v>
      </c>
      <c r="C997">
        <v>7</v>
      </c>
      <c r="D997">
        <v>1987</v>
      </c>
      <c r="E997">
        <v>7</v>
      </c>
    </row>
    <row r="998" spans="1:5" x14ac:dyDescent="0.25">
      <c r="A998" t="s">
        <v>1967</v>
      </c>
      <c r="B998" t="s">
        <v>1968</v>
      </c>
      <c r="C998">
        <v>7</v>
      </c>
      <c r="D998">
        <v>1987</v>
      </c>
      <c r="E998">
        <v>7</v>
      </c>
    </row>
    <row r="999" spans="1:5" x14ac:dyDescent="0.25">
      <c r="A999" t="s">
        <v>1969</v>
      </c>
      <c r="B999" t="s">
        <v>1970</v>
      </c>
      <c r="C999">
        <v>6</v>
      </c>
      <c r="D999">
        <v>1703.1</v>
      </c>
      <c r="E999">
        <v>7</v>
      </c>
    </row>
    <row r="1000" spans="1:5" x14ac:dyDescent="0.25">
      <c r="A1000" t="s">
        <v>1971</v>
      </c>
      <c r="B1000" t="s">
        <v>1972</v>
      </c>
      <c r="C1000">
        <v>6</v>
      </c>
      <c r="D1000">
        <v>1703.1</v>
      </c>
      <c r="E1000">
        <v>7</v>
      </c>
    </row>
    <row r="1001" spans="1:5" x14ac:dyDescent="0.25">
      <c r="A1001" t="s">
        <v>1973</v>
      </c>
      <c r="B1001" t="s">
        <v>1974</v>
      </c>
      <c r="C1001">
        <v>6</v>
      </c>
      <c r="D1001">
        <v>1703.1</v>
      </c>
      <c r="E1001">
        <v>7</v>
      </c>
    </row>
    <row r="1002" spans="1:5" x14ac:dyDescent="0.25">
      <c r="A1002" t="s">
        <v>1975</v>
      </c>
      <c r="B1002" t="s">
        <v>1976</v>
      </c>
      <c r="C1002">
        <v>6</v>
      </c>
      <c r="D1002">
        <v>1703.1</v>
      </c>
      <c r="E1002">
        <v>7</v>
      </c>
    </row>
    <row r="1003" spans="1:5" x14ac:dyDescent="0.25">
      <c r="A1003" t="s">
        <v>1977</v>
      </c>
      <c r="B1003" t="s">
        <v>1978</v>
      </c>
      <c r="C1003">
        <v>4</v>
      </c>
      <c r="D1003">
        <v>1135.4000000000001</v>
      </c>
      <c r="E1003">
        <v>7</v>
      </c>
    </row>
    <row r="1004" spans="1:5" x14ac:dyDescent="0.25">
      <c r="A1004" t="s">
        <v>1979</v>
      </c>
      <c r="B1004" t="s">
        <v>1980</v>
      </c>
      <c r="C1004">
        <v>7</v>
      </c>
      <c r="D1004">
        <v>1987</v>
      </c>
      <c r="E1004">
        <v>7</v>
      </c>
    </row>
    <row r="1005" spans="1:5" x14ac:dyDescent="0.25">
      <c r="A1005" t="s">
        <v>1981</v>
      </c>
      <c r="B1005" t="s">
        <v>1982</v>
      </c>
      <c r="C1005">
        <v>4</v>
      </c>
      <c r="D1005">
        <v>1135.4000000000001</v>
      </c>
      <c r="E1005">
        <v>7</v>
      </c>
    </row>
    <row r="1006" spans="1:5" x14ac:dyDescent="0.25">
      <c r="A1006" t="s">
        <v>1983</v>
      </c>
      <c r="B1006" t="s">
        <v>1984</v>
      </c>
      <c r="C1006">
        <v>6</v>
      </c>
      <c r="D1006">
        <v>1703.1</v>
      </c>
      <c r="E1006">
        <v>7</v>
      </c>
    </row>
    <row r="1007" spans="1:5" x14ac:dyDescent="0.25">
      <c r="A1007" t="s">
        <v>1985</v>
      </c>
      <c r="B1007" t="s">
        <v>1986</v>
      </c>
      <c r="C1007">
        <v>5</v>
      </c>
      <c r="D1007">
        <v>1419.3</v>
      </c>
      <c r="E1007">
        <v>7</v>
      </c>
    </row>
    <row r="1008" spans="1:5" x14ac:dyDescent="0.25">
      <c r="A1008" t="s">
        <v>1987</v>
      </c>
      <c r="B1008" t="s">
        <v>1986</v>
      </c>
      <c r="C1008">
        <v>5</v>
      </c>
      <c r="D1008">
        <v>1419.3</v>
      </c>
      <c r="E1008">
        <v>7</v>
      </c>
    </row>
    <row r="1009" spans="1:5" x14ac:dyDescent="0.25">
      <c r="A1009" t="s">
        <v>1988</v>
      </c>
      <c r="B1009" t="s">
        <v>1989</v>
      </c>
      <c r="C1009">
        <v>5</v>
      </c>
      <c r="D1009">
        <v>1419.3</v>
      </c>
      <c r="E1009">
        <v>7</v>
      </c>
    </row>
    <row r="1010" spans="1:5" x14ac:dyDescent="0.25">
      <c r="A1010" t="s">
        <v>1990</v>
      </c>
      <c r="B1010" t="s">
        <v>1989</v>
      </c>
      <c r="C1010">
        <v>5</v>
      </c>
      <c r="D1010">
        <v>1419.3</v>
      </c>
      <c r="E1010">
        <v>7</v>
      </c>
    </row>
    <row r="1011" spans="1:5" x14ac:dyDescent="0.25">
      <c r="A1011" t="s">
        <v>1991</v>
      </c>
      <c r="B1011" t="s">
        <v>1992</v>
      </c>
      <c r="C1011">
        <v>4</v>
      </c>
      <c r="D1011">
        <v>1135.4000000000001</v>
      </c>
      <c r="E1011">
        <v>7</v>
      </c>
    </row>
    <row r="1012" spans="1:5" x14ac:dyDescent="0.25">
      <c r="A1012" t="s">
        <v>1993</v>
      </c>
      <c r="B1012" t="s">
        <v>1994</v>
      </c>
      <c r="C1012">
        <v>4</v>
      </c>
      <c r="D1012">
        <v>1135.4000000000001</v>
      </c>
      <c r="E1012">
        <v>7</v>
      </c>
    </row>
    <row r="1013" spans="1:5" x14ac:dyDescent="0.25">
      <c r="A1013" t="s">
        <v>1995</v>
      </c>
      <c r="B1013" t="s">
        <v>1996</v>
      </c>
      <c r="C1013">
        <v>6</v>
      </c>
      <c r="D1013">
        <v>1703.1</v>
      </c>
      <c r="E1013">
        <v>7</v>
      </c>
    </row>
    <row r="1014" spans="1:5" x14ac:dyDescent="0.25">
      <c r="A1014" t="s">
        <v>1997</v>
      </c>
      <c r="B1014" t="s">
        <v>1998</v>
      </c>
      <c r="C1014">
        <v>6</v>
      </c>
      <c r="D1014">
        <v>1703.1</v>
      </c>
      <c r="E1014">
        <v>7</v>
      </c>
    </row>
    <row r="1015" spans="1:5" x14ac:dyDescent="0.25">
      <c r="A1015" t="s">
        <v>1999</v>
      </c>
      <c r="B1015" t="s">
        <v>2000</v>
      </c>
      <c r="C1015">
        <v>5</v>
      </c>
      <c r="D1015">
        <v>1419.3</v>
      </c>
      <c r="E1015">
        <v>7</v>
      </c>
    </row>
    <row r="1016" spans="1:5" x14ac:dyDescent="0.25">
      <c r="A1016" t="s">
        <v>2001</v>
      </c>
      <c r="B1016" t="s">
        <v>2002</v>
      </c>
      <c r="C1016">
        <v>5</v>
      </c>
      <c r="D1016">
        <v>1419.3</v>
      </c>
      <c r="E1016">
        <v>7</v>
      </c>
    </row>
    <row r="1017" spans="1:5" x14ac:dyDescent="0.25">
      <c r="A1017" t="s">
        <v>2003</v>
      </c>
      <c r="B1017" t="s">
        <v>2004</v>
      </c>
      <c r="C1017">
        <v>5</v>
      </c>
      <c r="D1017">
        <v>1419.3</v>
      </c>
      <c r="E1017">
        <v>7</v>
      </c>
    </row>
    <row r="1018" spans="1:5" x14ac:dyDescent="0.25">
      <c r="A1018" t="s">
        <v>2005</v>
      </c>
      <c r="B1018" t="s">
        <v>2006</v>
      </c>
      <c r="C1018">
        <v>5</v>
      </c>
      <c r="D1018">
        <v>1419.3</v>
      </c>
      <c r="E1018">
        <v>7</v>
      </c>
    </row>
    <row r="1019" spans="1:5" x14ac:dyDescent="0.25">
      <c r="A1019" t="s">
        <v>2007</v>
      </c>
      <c r="B1019" t="s">
        <v>2008</v>
      </c>
      <c r="C1019">
        <v>4</v>
      </c>
      <c r="D1019">
        <v>1135.4000000000001</v>
      </c>
      <c r="E1019">
        <v>7</v>
      </c>
    </row>
    <row r="1020" spans="1:5" x14ac:dyDescent="0.25">
      <c r="A1020" t="s">
        <v>2009</v>
      </c>
      <c r="B1020" t="s">
        <v>2010</v>
      </c>
      <c r="C1020">
        <v>4</v>
      </c>
      <c r="D1020">
        <v>1135.4000000000001</v>
      </c>
      <c r="E1020">
        <v>7</v>
      </c>
    </row>
    <row r="1021" spans="1:5" x14ac:dyDescent="0.25">
      <c r="A1021" t="s">
        <v>2011</v>
      </c>
      <c r="B1021" t="s">
        <v>2012</v>
      </c>
      <c r="C1021">
        <v>6</v>
      </c>
      <c r="D1021">
        <v>1703.1</v>
      </c>
      <c r="E1021">
        <v>7</v>
      </c>
    </row>
    <row r="1022" spans="1:5" x14ac:dyDescent="0.25">
      <c r="A1022" t="s">
        <v>2013</v>
      </c>
      <c r="B1022" t="s">
        <v>2014</v>
      </c>
      <c r="C1022">
        <v>4</v>
      </c>
      <c r="D1022">
        <v>1135.4000000000001</v>
      </c>
      <c r="E1022">
        <v>7</v>
      </c>
    </row>
    <row r="1023" spans="1:5" x14ac:dyDescent="0.25">
      <c r="A1023" t="s">
        <v>2015</v>
      </c>
      <c r="B1023" t="s">
        <v>2016</v>
      </c>
      <c r="C1023">
        <v>6</v>
      </c>
      <c r="D1023">
        <v>1703.1</v>
      </c>
      <c r="E1023">
        <v>7</v>
      </c>
    </row>
    <row r="1024" spans="1:5" x14ac:dyDescent="0.25">
      <c r="A1024" t="s">
        <v>2017</v>
      </c>
      <c r="B1024" t="s">
        <v>2018</v>
      </c>
      <c r="C1024">
        <v>7</v>
      </c>
      <c r="D1024">
        <v>1987</v>
      </c>
      <c r="E1024">
        <v>7</v>
      </c>
    </row>
    <row r="1025" spans="1:5" x14ac:dyDescent="0.25">
      <c r="A1025" t="s">
        <v>2019</v>
      </c>
      <c r="B1025" t="s">
        <v>2020</v>
      </c>
      <c r="C1025">
        <v>6</v>
      </c>
      <c r="D1025">
        <v>1703.1</v>
      </c>
      <c r="E1025">
        <v>7</v>
      </c>
    </row>
    <row r="1026" spans="1:5" x14ac:dyDescent="0.25">
      <c r="A1026" t="s">
        <v>2021</v>
      </c>
      <c r="B1026" t="s">
        <v>2022</v>
      </c>
      <c r="C1026">
        <v>6</v>
      </c>
      <c r="D1026">
        <v>1703.1</v>
      </c>
      <c r="E1026">
        <v>7</v>
      </c>
    </row>
    <row r="1027" spans="1:5" x14ac:dyDescent="0.25">
      <c r="A1027" t="s">
        <v>2023</v>
      </c>
      <c r="B1027" t="s">
        <v>2024</v>
      </c>
      <c r="C1027">
        <v>6</v>
      </c>
      <c r="D1027">
        <v>1703.1</v>
      </c>
      <c r="E1027">
        <v>7</v>
      </c>
    </row>
    <row r="1028" spans="1:5" x14ac:dyDescent="0.25">
      <c r="A1028" t="s">
        <v>2025</v>
      </c>
      <c r="B1028" t="s">
        <v>2026</v>
      </c>
      <c r="C1028">
        <v>7</v>
      </c>
      <c r="D1028">
        <v>1987</v>
      </c>
      <c r="E1028">
        <v>7</v>
      </c>
    </row>
    <row r="1029" spans="1:5" x14ac:dyDescent="0.25">
      <c r="A1029" t="s">
        <v>2027</v>
      </c>
      <c r="B1029" t="s">
        <v>2028</v>
      </c>
      <c r="C1029">
        <v>5</v>
      </c>
      <c r="D1029">
        <v>1419.3</v>
      </c>
      <c r="E1029">
        <v>7</v>
      </c>
    </row>
    <row r="1030" spans="1:5" x14ac:dyDescent="0.25">
      <c r="A1030" t="s">
        <v>2029</v>
      </c>
      <c r="B1030" t="s">
        <v>2030</v>
      </c>
      <c r="C1030">
        <v>5</v>
      </c>
      <c r="D1030">
        <v>1419.3</v>
      </c>
      <c r="E1030">
        <v>7</v>
      </c>
    </row>
    <row r="1031" spans="1:5" x14ac:dyDescent="0.25">
      <c r="A1031" t="s">
        <v>2031</v>
      </c>
      <c r="B1031" t="s">
        <v>2032</v>
      </c>
      <c r="C1031">
        <v>5</v>
      </c>
      <c r="D1031">
        <v>1419.3</v>
      </c>
      <c r="E1031">
        <v>7</v>
      </c>
    </row>
    <row r="1032" spans="1:5" x14ac:dyDescent="0.25">
      <c r="A1032" t="s">
        <v>2033</v>
      </c>
      <c r="B1032" t="s">
        <v>2034</v>
      </c>
      <c r="C1032">
        <v>5</v>
      </c>
      <c r="D1032">
        <v>1419.3</v>
      </c>
      <c r="E1032">
        <v>7</v>
      </c>
    </row>
    <row r="1033" spans="1:5" x14ac:dyDescent="0.25">
      <c r="A1033" t="s">
        <v>2035</v>
      </c>
      <c r="B1033" t="s">
        <v>2036</v>
      </c>
      <c r="C1033">
        <v>5</v>
      </c>
      <c r="D1033">
        <v>1419.3</v>
      </c>
      <c r="E1033">
        <v>7</v>
      </c>
    </row>
    <row r="1034" spans="1:5" x14ac:dyDescent="0.25">
      <c r="A1034" t="s">
        <v>2037</v>
      </c>
      <c r="B1034" t="s">
        <v>2038</v>
      </c>
      <c r="C1034">
        <v>5</v>
      </c>
      <c r="D1034">
        <v>1419.3</v>
      </c>
      <c r="E1034">
        <v>7</v>
      </c>
    </row>
    <row r="1035" spans="1:5" x14ac:dyDescent="0.25">
      <c r="A1035" t="s">
        <v>2039</v>
      </c>
      <c r="B1035" t="s">
        <v>2040</v>
      </c>
      <c r="C1035">
        <v>5</v>
      </c>
      <c r="D1035">
        <v>1419.3</v>
      </c>
      <c r="E1035">
        <v>7</v>
      </c>
    </row>
    <row r="1036" spans="1:5" x14ac:dyDescent="0.25">
      <c r="A1036" t="s">
        <v>2041</v>
      </c>
      <c r="B1036" t="s">
        <v>2042</v>
      </c>
      <c r="C1036">
        <v>5</v>
      </c>
      <c r="D1036">
        <v>1419.3</v>
      </c>
      <c r="E1036">
        <v>7</v>
      </c>
    </row>
    <row r="1037" spans="1:5" x14ac:dyDescent="0.25">
      <c r="A1037" t="s">
        <v>2043</v>
      </c>
      <c r="B1037" t="s">
        <v>2044</v>
      </c>
      <c r="C1037">
        <v>6</v>
      </c>
      <c r="D1037">
        <v>1703.1</v>
      </c>
      <c r="E1037">
        <v>7</v>
      </c>
    </row>
    <row r="1038" spans="1:5" x14ac:dyDescent="0.25">
      <c r="A1038" t="s">
        <v>2045</v>
      </c>
      <c r="B1038" t="s">
        <v>2046</v>
      </c>
      <c r="C1038">
        <v>4</v>
      </c>
      <c r="D1038">
        <v>1135.4000000000001</v>
      </c>
      <c r="E1038">
        <v>7</v>
      </c>
    </row>
    <row r="1039" spans="1:5" x14ac:dyDescent="0.25">
      <c r="A1039" t="s">
        <v>2047</v>
      </c>
      <c r="B1039" t="s">
        <v>2048</v>
      </c>
      <c r="C1039">
        <v>4</v>
      </c>
      <c r="D1039">
        <v>1135.4000000000001</v>
      </c>
      <c r="E1039">
        <v>7</v>
      </c>
    </row>
    <row r="1040" spans="1:5" x14ac:dyDescent="0.25">
      <c r="A1040" t="s">
        <v>2049</v>
      </c>
      <c r="B1040" t="s">
        <v>2050</v>
      </c>
      <c r="C1040">
        <v>6</v>
      </c>
      <c r="D1040">
        <v>1703.1</v>
      </c>
      <c r="E1040">
        <v>7</v>
      </c>
    </row>
    <row r="1041" spans="1:5" x14ac:dyDescent="0.25">
      <c r="A1041" t="s">
        <v>2051</v>
      </c>
      <c r="B1041" t="s">
        <v>2052</v>
      </c>
      <c r="C1041">
        <v>6</v>
      </c>
      <c r="D1041">
        <v>1703.1</v>
      </c>
      <c r="E1041">
        <v>7</v>
      </c>
    </row>
    <row r="1042" spans="1:5" x14ac:dyDescent="0.25">
      <c r="A1042" t="s">
        <v>2053</v>
      </c>
      <c r="B1042" t="s">
        <v>2054</v>
      </c>
      <c r="C1042">
        <v>6</v>
      </c>
      <c r="D1042">
        <v>1703.1</v>
      </c>
      <c r="E1042">
        <v>7</v>
      </c>
    </row>
    <row r="1043" spans="1:5" x14ac:dyDescent="0.25">
      <c r="A1043" t="s">
        <v>2055</v>
      </c>
      <c r="B1043" t="s">
        <v>2056</v>
      </c>
      <c r="C1043">
        <v>6</v>
      </c>
      <c r="D1043">
        <v>1703.1</v>
      </c>
      <c r="E1043">
        <v>7</v>
      </c>
    </row>
    <row r="1044" spans="1:5" x14ac:dyDescent="0.25">
      <c r="A1044" t="s">
        <v>2057</v>
      </c>
      <c r="B1044" t="s">
        <v>2058</v>
      </c>
      <c r="C1044">
        <v>6</v>
      </c>
      <c r="D1044">
        <v>1703.1</v>
      </c>
      <c r="E1044">
        <v>7</v>
      </c>
    </row>
    <row r="1045" spans="1:5" x14ac:dyDescent="0.25">
      <c r="A1045" t="s">
        <v>2059</v>
      </c>
      <c r="B1045" t="s">
        <v>2060</v>
      </c>
      <c r="C1045">
        <v>4</v>
      </c>
      <c r="D1045">
        <v>1135.4000000000001</v>
      </c>
      <c r="E1045">
        <v>7</v>
      </c>
    </row>
    <row r="1046" spans="1:5" x14ac:dyDescent="0.25">
      <c r="A1046" t="s">
        <v>2061</v>
      </c>
      <c r="B1046" t="s">
        <v>2062</v>
      </c>
      <c r="C1046">
        <v>6</v>
      </c>
      <c r="D1046">
        <v>1703.1</v>
      </c>
      <c r="E1046">
        <v>7</v>
      </c>
    </row>
    <row r="1047" spans="1:5" x14ac:dyDescent="0.25">
      <c r="A1047" t="s">
        <v>2063</v>
      </c>
      <c r="B1047" t="s">
        <v>2064</v>
      </c>
      <c r="C1047">
        <v>4</v>
      </c>
      <c r="D1047">
        <v>1135.4000000000001</v>
      </c>
      <c r="E1047">
        <v>7</v>
      </c>
    </row>
    <row r="1048" spans="1:5" x14ac:dyDescent="0.25">
      <c r="A1048" t="s">
        <v>2065</v>
      </c>
      <c r="B1048" t="s">
        <v>2066</v>
      </c>
      <c r="C1048">
        <v>4</v>
      </c>
      <c r="D1048">
        <v>1135.4000000000001</v>
      </c>
      <c r="E1048">
        <v>7</v>
      </c>
    </row>
    <row r="1049" spans="1:5" x14ac:dyDescent="0.25">
      <c r="A1049" t="s">
        <v>2067</v>
      </c>
      <c r="B1049" t="s">
        <v>2068</v>
      </c>
      <c r="C1049">
        <v>6</v>
      </c>
      <c r="D1049">
        <v>1703.1</v>
      </c>
      <c r="E1049">
        <v>7</v>
      </c>
    </row>
    <row r="1050" spans="1:5" x14ac:dyDescent="0.25">
      <c r="A1050" t="s">
        <v>2069</v>
      </c>
      <c r="B1050" t="s">
        <v>2070</v>
      </c>
      <c r="C1050">
        <v>4</v>
      </c>
      <c r="D1050">
        <v>1135.4000000000001</v>
      </c>
      <c r="E1050">
        <v>7</v>
      </c>
    </row>
    <row r="1051" spans="1:5" x14ac:dyDescent="0.25">
      <c r="A1051" t="s">
        <v>2071</v>
      </c>
      <c r="B1051" t="s">
        <v>2072</v>
      </c>
      <c r="C1051">
        <v>4</v>
      </c>
      <c r="D1051">
        <v>1135.4000000000001</v>
      </c>
      <c r="E1051">
        <v>7</v>
      </c>
    </row>
    <row r="1052" spans="1:5" x14ac:dyDescent="0.25">
      <c r="A1052" t="s">
        <v>2073</v>
      </c>
      <c r="B1052" t="s">
        <v>2074</v>
      </c>
      <c r="C1052">
        <v>4</v>
      </c>
      <c r="D1052">
        <v>1135.4000000000001</v>
      </c>
      <c r="E1052">
        <v>7</v>
      </c>
    </row>
    <row r="1053" spans="1:5" x14ac:dyDescent="0.25">
      <c r="A1053" t="s">
        <v>2075</v>
      </c>
      <c r="B1053" t="s">
        <v>2076</v>
      </c>
      <c r="C1053">
        <v>6</v>
      </c>
      <c r="D1053">
        <v>1703.1</v>
      </c>
      <c r="E1053">
        <v>7</v>
      </c>
    </row>
    <row r="1054" spans="1:5" x14ac:dyDescent="0.25">
      <c r="A1054" t="s">
        <v>2077</v>
      </c>
      <c r="B1054" t="s">
        <v>2078</v>
      </c>
      <c r="C1054">
        <v>4</v>
      </c>
      <c r="D1054">
        <v>1135.4000000000001</v>
      </c>
      <c r="E1054">
        <v>7</v>
      </c>
    </row>
    <row r="1055" spans="1:5" x14ac:dyDescent="0.25">
      <c r="A1055" t="s">
        <v>2079</v>
      </c>
      <c r="B1055" t="s">
        <v>2080</v>
      </c>
      <c r="C1055">
        <v>4</v>
      </c>
      <c r="D1055">
        <v>1135.4000000000001</v>
      </c>
      <c r="E1055">
        <v>7</v>
      </c>
    </row>
    <row r="1056" spans="1:5" x14ac:dyDescent="0.25">
      <c r="A1056" t="s">
        <v>2081</v>
      </c>
      <c r="B1056" t="s">
        <v>2082</v>
      </c>
      <c r="C1056">
        <v>5</v>
      </c>
      <c r="D1056">
        <v>1419.3</v>
      </c>
      <c r="E1056">
        <v>7</v>
      </c>
    </row>
    <row r="1057" spans="1:5" x14ac:dyDescent="0.25">
      <c r="A1057" t="s">
        <v>2083</v>
      </c>
      <c r="B1057" t="s">
        <v>2084</v>
      </c>
      <c r="C1057">
        <v>4</v>
      </c>
      <c r="D1057">
        <v>1135.4000000000001</v>
      </c>
      <c r="E1057">
        <v>7</v>
      </c>
    </row>
    <row r="1058" spans="1:5" x14ac:dyDescent="0.25">
      <c r="A1058" t="s">
        <v>2085</v>
      </c>
      <c r="B1058" t="s">
        <v>2086</v>
      </c>
      <c r="C1058">
        <v>4</v>
      </c>
      <c r="D1058">
        <v>1135.4000000000001</v>
      </c>
      <c r="E1058">
        <v>7</v>
      </c>
    </row>
    <row r="1059" spans="1:5" x14ac:dyDescent="0.25">
      <c r="A1059" t="s">
        <v>2087</v>
      </c>
      <c r="B1059" t="s">
        <v>2088</v>
      </c>
      <c r="C1059">
        <v>4</v>
      </c>
      <c r="D1059">
        <v>1135.4000000000001</v>
      </c>
      <c r="E1059">
        <v>7</v>
      </c>
    </row>
    <row r="1060" spans="1:5" x14ac:dyDescent="0.25">
      <c r="A1060" t="s">
        <v>2089</v>
      </c>
      <c r="B1060" t="s">
        <v>2090</v>
      </c>
      <c r="C1060">
        <v>4</v>
      </c>
      <c r="D1060">
        <v>1135.4000000000001</v>
      </c>
      <c r="E1060">
        <v>7</v>
      </c>
    </row>
    <row r="1061" spans="1:5" x14ac:dyDescent="0.25">
      <c r="A1061" t="s">
        <v>2091</v>
      </c>
      <c r="B1061" t="s">
        <v>2092</v>
      </c>
      <c r="C1061">
        <v>4</v>
      </c>
      <c r="D1061">
        <v>1135.4000000000001</v>
      </c>
      <c r="E1061">
        <v>7</v>
      </c>
    </row>
    <row r="1062" spans="1:5" x14ac:dyDescent="0.25">
      <c r="A1062" t="s">
        <v>2093</v>
      </c>
      <c r="B1062" t="s">
        <v>2094</v>
      </c>
      <c r="C1062">
        <v>4</v>
      </c>
      <c r="D1062">
        <v>1135.4000000000001</v>
      </c>
      <c r="E1062">
        <v>7</v>
      </c>
    </row>
    <row r="1063" spans="1:5" x14ac:dyDescent="0.25">
      <c r="A1063" t="s">
        <v>2095</v>
      </c>
      <c r="B1063" t="s">
        <v>2096</v>
      </c>
      <c r="C1063">
        <v>6</v>
      </c>
      <c r="D1063">
        <v>1703.1</v>
      </c>
      <c r="E1063">
        <v>7</v>
      </c>
    </row>
    <row r="1064" spans="1:5" x14ac:dyDescent="0.25">
      <c r="A1064" t="s">
        <v>2097</v>
      </c>
      <c r="B1064" t="s">
        <v>2098</v>
      </c>
      <c r="C1064">
        <v>4</v>
      </c>
      <c r="D1064">
        <v>1135.4000000000001</v>
      </c>
      <c r="E1064">
        <v>7</v>
      </c>
    </row>
    <row r="1065" spans="1:5" x14ac:dyDescent="0.25">
      <c r="A1065" t="s">
        <v>2099</v>
      </c>
      <c r="B1065" t="s">
        <v>2100</v>
      </c>
      <c r="C1065">
        <v>6</v>
      </c>
      <c r="D1065">
        <v>1703.1</v>
      </c>
      <c r="E1065">
        <v>7</v>
      </c>
    </row>
    <row r="1066" spans="1:5" x14ac:dyDescent="0.25">
      <c r="A1066" t="s">
        <v>2101</v>
      </c>
      <c r="B1066" t="s">
        <v>2102</v>
      </c>
      <c r="C1066">
        <v>4</v>
      </c>
      <c r="D1066">
        <v>1135.4000000000001</v>
      </c>
      <c r="E1066">
        <v>7</v>
      </c>
    </row>
    <row r="1067" spans="1:5" x14ac:dyDescent="0.25">
      <c r="A1067" t="s">
        <v>2103</v>
      </c>
      <c r="B1067" t="s">
        <v>2104</v>
      </c>
      <c r="C1067">
        <v>4</v>
      </c>
      <c r="D1067">
        <v>1135.4000000000001</v>
      </c>
      <c r="E1067">
        <v>7</v>
      </c>
    </row>
    <row r="1068" spans="1:5" x14ac:dyDescent="0.25">
      <c r="A1068" t="s">
        <v>2105</v>
      </c>
      <c r="B1068" t="s">
        <v>2106</v>
      </c>
      <c r="C1068">
        <v>4</v>
      </c>
      <c r="D1068">
        <v>1135.4000000000001</v>
      </c>
      <c r="E1068">
        <v>7</v>
      </c>
    </row>
    <row r="1069" spans="1:5" x14ac:dyDescent="0.25">
      <c r="A1069" t="s">
        <v>2107</v>
      </c>
      <c r="B1069" t="s">
        <v>2108</v>
      </c>
      <c r="C1069">
        <v>4</v>
      </c>
      <c r="D1069">
        <v>1135.4000000000001</v>
      </c>
      <c r="E1069">
        <v>7</v>
      </c>
    </row>
    <row r="1070" spans="1:5" x14ac:dyDescent="0.25">
      <c r="A1070" t="s">
        <v>2109</v>
      </c>
      <c r="B1070" t="s">
        <v>2110</v>
      </c>
      <c r="C1070">
        <v>4</v>
      </c>
      <c r="D1070">
        <v>1135.4000000000001</v>
      </c>
      <c r="E1070">
        <v>7</v>
      </c>
    </row>
    <row r="1071" spans="1:5" x14ac:dyDescent="0.25">
      <c r="A1071" t="s">
        <v>2111</v>
      </c>
      <c r="B1071" t="s">
        <v>2112</v>
      </c>
      <c r="C1071">
        <v>4</v>
      </c>
      <c r="D1071">
        <v>1135.4000000000001</v>
      </c>
      <c r="E1071">
        <v>7</v>
      </c>
    </row>
    <row r="1072" spans="1:5" x14ac:dyDescent="0.25">
      <c r="A1072" t="s">
        <v>2113</v>
      </c>
      <c r="B1072" t="s">
        <v>2114</v>
      </c>
      <c r="C1072">
        <v>4</v>
      </c>
      <c r="D1072">
        <v>1135.4000000000001</v>
      </c>
      <c r="E1072">
        <v>7</v>
      </c>
    </row>
    <row r="1073" spans="1:5" x14ac:dyDescent="0.25">
      <c r="A1073" t="s">
        <v>2115</v>
      </c>
      <c r="B1073" t="s">
        <v>2116</v>
      </c>
      <c r="C1073">
        <v>4</v>
      </c>
      <c r="D1073">
        <v>1135.4000000000001</v>
      </c>
      <c r="E1073">
        <v>7</v>
      </c>
    </row>
    <row r="1074" spans="1:5" x14ac:dyDescent="0.25">
      <c r="A1074" t="s">
        <v>2117</v>
      </c>
      <c r="B1074" t="s">
        <v>2118</v>
      </c>
      <c r="C1074">
        <v>4</v>
      </c>
      <c r="D1074">
        <v>1135.4000000000001</v>
      </c>
      <c r="E1074">
        <v>7</v>
      </c>
    </row>
    <row r="1075" spans="1:5" x14ac:dyDescent="0.25">
      <c r="A1075" t="s">
        <v>2119</v>
      </c>
      <c r="B1075" t="s">
        <v>2120</v>
      </c>
      <c r="C1075">
        <v>4</v>
      </c>
      <c r="D1075">
        <v>1135.4000000000001</v>
      </c>
      <c r="E1075">
        <v>7</v>
      </c>
    </row>
    <row r="1076" spans="1:5" x14ac:dyDescent="0.25">
      <c r="A1076" t="s">
        <v>2121</v>
      </c>
      <c r="B1076" t="s">
        <v>2122</v>
      </c>
      <c r="C1076">
        <v>4</v>
      </c>
      <c r="D1076">
        <v>1135.4000000000001</v>
      </c>
      <c r="E1076">
        <v>7</v>
      </c>
    </row>
    <row r="1077" spans="1:5" x14ac:dyDescent="0.25">
      <c r="A1077" t="s">
        <v>2123</v>
      </c>
      <c r="B1077" t="s">
        <v>2124</v>
      </c>
      <c r="C1077">
        <v>4</v>
      </c>
      <c r="D1077">
        <v>1135.4000000000001</v>
      </c>
      <c r="E1077">
        <v>7</v>
      </c>
    </row>
    <row r="1078" spans="1:5" x14ac:dyDescent="0.25">
      <c r="A1078" t="s">
        <v>2125</v>
      </c>
      <c r="B1078" t="s">
        <v>2126</v>
      </c>
      <c r="C1078">
        <v>4</v>
      </c>
      <c r="D1078">
        <v>1135.4000000000001</v>
      </c>
      <c r="E1078">
        <v>7</v>
      </c>
    </row>
    <row r="1079" spans="1:5" x14ac:dyDescent="0.25">
      <c r="A1079" t="s">
        <v>2127</v>
      </c>
      <c r="B1079" t="s">
        <v>2128</v>
      </c>
      <c r="C1079">
        <v>4</v>
      </c>
      <c r="D1079">
        <v>1135.4000000000001</v>
      </c>
      <c r="E1079">
        <v>7</v>
      </c>
    </row>
    <row r="1080" spans="1:5" x14ac:dyDescent="0.25">
      <c r="A1080" t="s">
        <v>2129</v>
      </c>
      <c r="B1080" t="s">
        <v>2130</v>
      </c>
      <c r="C1080">
        <v>4</v>
      </c>
      <c r="D1080">
        <v>1135.4000000000001</v>
      </c>
      <c r="E1080">
        <v>7</v>
      </c>
    </row>
    <row r="1081" spans="1:5" x14ac:dyDescent="0.25">
      <c r="A1081" t="s">
        <v>2131</v>
      </c>
      <c r="B1081" t="s">
        <v>2132</v>
      </c>
      <c r="C1081">
        <v>4</v>
      </c>
      <c r="D1081">
        <v>1135.4000000000001</v>
      </c>
      <c r="E1081">
        <v>7</v>
      </c>
    </row>
    <row r="1082" spans="1:5" x14ac:dyDescent="0.25">
      <c r="A1082" t="s">
        <v>2133</v>
      </c>
      <c r="B1082" t="s">
        <v>2134</v>
      </c>
      <c r="C1082">
        <v>4</v>
      </c>
      <c r="D1082">
        <v>1135.4000000000001</v>
      </c>
      <c r="E1082">
        <v>7</v>
      </c>
    </row>
    <row r="1083" spans="1:5" x14ac:dyDescent="0.25">
      <c r="A1083" t="s">
        <v>2135</v>
      </c>
      <c r="B1083" t="s">
        <v>2136</v>
      </c>
      <c r="C1083">
        <v>4</v>
      </c>
      <c r="D1083">
        <v>1135.4000000000001</v>
      </c>
      <c r="E1083">
        <v>7</v>
      </c>
    </row>
    <row r="1084" spans="1:5" x14ac:dyDescent="0.25">
      <c r="A1084" t="s">
        <v>2137</v>
      </c>
      <c r="B1084" t="s">
        <v>2138</v>
      </c>
      <c r="C1084">
        <v>4</v>
      </c>
      <c r="D1084">
        <v>1135.4000000000001</v>
      </c>
      <c r="E1084">
        <v>7</v>
      </c>
    </row>
    <row r="1085" spans="1:5" x14ac:dyDescent="0.25">
      <c r="A1085" t="s">
        <v>2139</v>
      </c>
      <c r="B1085" t="s">
        <v>2140</v>
      </c>
      <c r="C1085">
        <v>4</v>
      </c>
      <c r="D1085">
        <v>1135.4000000000001</v>
      </c>
      <c r="E1085">
        <v>7</v>
      </c>
    </row>
    <row r="1086" spans="1:5" x14ac:dyDescent="0.25">
      <c r="A1086" t="s">
        <v>2141</v>
      </c>
      <c r="B1086" t="s">
        <v>2142</v>
      </c>
      <c r="C1086">
        <v>4</v>
      </c>
      <c r="D1086">
        <v>1135.4000000000001</v>
      </c>
      <c r="E1086">
        <v>7</v>
      </c>
    </row>
    <row r="1087" spans="1:5" x14ac:dyDescent="0.25">
      <c r="A1087" t="s">
        <v>2143</v>
      </c>
      <c r="B1087" t="s">
        <v>2144</v>
      </c>
      <c r="C1087">
        <v>4</v>
      </c>
      <c r="D1087">
        <v>1135.4000000000001</v>
      </c>
      <c r="E1087">
        <v>7</v>
      </c>
    </row>
    <row r="1088" spans="1:5" x14ac:dyDescent="0.25">
      <c r="A1088" t="s">
        <v>2145</v>
      </c>
      <c r="B1088" t="s">
        <v>2146</v>
      </c>
      <c r="C1088">
        <v>4</v>
      </c>
      <c r="D1088">
        <v>1135.4000000000001</v>
      </c>
      <c r="E1088">
        <v>7</v>
      </c>
    </row>
    <row r="1089" spans="1:5" x14ac:dyDescent="0.25">
      <c r="A1089" t="s">
        <v>2147</v>
      </c>
      <c r="B1089" t="s">
        <v>2148</v>
      </c>
      <c r="C1089">
        <v>4</v>
      </c>
      <c r="D1089">
        <v>1135.4000000000001</v>
      </c>
      <c r="E1089">
        <v>1</v>
      </c>
    </row>
    <row r="1090" spans="1:5" x14ac:dyDescent="0.25">
      <c r="A1090" t="s">
        <v>2149</v>
      </c>
      <c r="B1090" t="s">
        <v>2150</v>
      </c>
      <c r="C1090">
        <v>4</v>
      </c>
      <c r="D1090">
        <v>1135.4000000000001</v>
      </c>
      <c r="E1090">
        <v>1</v>
      </c>
    </row>
    <row r="1091" spans="1:5" x14ac:dyDescent="0.25">
      <c r="A1091" t="s">
        <v>2151</v>
      </c>
      <c r="B1091" t="s">
        <v>2152</v>
      </c>
      <c r="C1091">
        <v>4</v>
      </c>
      <c r="D1091">
        <v>1135.4000000000001</v>
      </c>
      <c r="E1091">
        <v>1</v>
      </c>
    </row>
    <row r="1092" spans="1:5" x14ac:dyDescent="0.25">
      <c r="A1092" t="s">
        <v>2153</v>
      </c>
      <c r="B1092" t="s">
        <v>2154</v>
      </c>
      <c r="C1092">
        <v>4</v>
      </c>
      <c r="D1092">
        <v>1135.4000000000001</v>
      </c>
      <c r="E1092">
        <v>1</v>
      </c>
    </row>
    <row r="1093" spans="1:5" x14ac:dyDescent="0.25">
      <c r="A1093" t="s">
        <v>2155</v>
      </c>
      <c r="B1093" t="s">
        <v>2156</v>
      </c>
      <c r="C1093">
        <v>4</v>
      </c>
      <c r="D1093">
        <v>1135.4000000000001</v>
      </c>
      <c r="E1093">
        <v>1</v>
      </c>
    </row>
    <row r="1094" spans="1:5" x14ac:dyDescent="0.25">
      <c r="A1094" t="s">
        <v>2157</v>
      </c>
      <c r="B1094" t="s">
        <v>2158</v>
      </c>
      <c r="C1094">
        <v>4</v>
      </c>
      <c r="D1094">
        <v>1135.4000000000001</v>
      </c>
      <c r="E1094">
        <v>1</v>
      </c>
    </row>
    <row r="1095" spans="1:5" x14ac:dyDescent="0.25">
      <c r="A1095" t="s">
        <v>2159</v>
      </c>
      <c r="B1095" t="s">
        <v>2160</v>
      </c>
      <c r="C1095">
        <v>5</v>
      </c>
      <c r="D1095">
        <v>1419.3</v>
      </c>
      <c r="E1095">
        <v>1</v>
      </c>
    </row>
    <row r="1096" spans="1:5" x14ac:dyDescent="0.25">
      <c r="A1096" t="s">
        <v>2161</v>
      </c>
      <c r="B1096" t="s">
        <v>2162</v>
      </c>
      <c r="C1096">
        <v>5</v>
      </c>
      <c r="D1096">
        <v>1419.3</v>
      </c>
      <c r="E1096">
        <v>1</v>
      </c>
    </row>
    <row r="1097" spans="1:5" x14ac:dyDescent="0.25">
      <c r="A1097" t="s">
        <v>2163</v>
      </c>
      <c r="B1097" t="s">
        <v>2164</v>
      </c>
      <c r="C1097">
        <v>5</v>
      </c>
      <c r="D1097">
        <v>1419.3</v>
      </c>
      <c r="E1097">
        <v>1</v>
      </c>
    </row>
    <row r="1098" spans="1:5" x14ac:dyDescent="0.25">
      <c r="A1098" t="s">
        <v>2165</v>
      </c>
      <c r="B1098" t="s">
        <v>2166</v>
      </c>
      <c r="C1098">
        <v>5</v>
      </c>
      <c r="D1098">
        <v>1419.3</v>
      </c>
      <c r="E1098">
        <v>1</v>
      </c>
    </row>
    <row r="1099" spans="1:5" x14ac:dyDescent="0.25">
      <c r="A1099" t="s">
        <v>2167</v>
      </c>
      <c r="B1099" t="s">
        <v>2168</v>
      </c>
      <c r="C1099">
        <v>5</v>
      </c>
      <c r="D1099">
        <v>1419.3</v>
      </c>
      <c r="E1099">
        <v>1</v>
      </c>
    </row>
    <row r="1100" spans="1:5" x14ac:dyDescent="0.25">
      <c r="A1100" t="s">
        <v>2169</v>
      </c>
      <c r="B1100" t="s">
        <v>2170</v>
      </c>
      <c r="C1100">
        <v>5</v>
      </c>
      <c r="D1100">
        <v>1419.3</v>
      </c>
      <c r="E1100">
        <v>1</v>
      </c>
    </row>
    <row r="1101" spans="1:5" x14ac:dyDescent="0.25">
      <c r="A1101" t="s">
        <v>2171</v>
      </c>
      <c r="B1101" t="s">
        <v>2172</v>
      </c>
      <c r="C1101">
        <v>5</v>
      </c>
      <c r="D1101">
        <v>1419.3</v>
      </c>
      <c r="E1101">
        <v>2</v>
      </c>
    </row>
    <row r="1102" spans="1:5" x14ac:dyDescent="0.25">
      <c r="A1102" t="s">
        <v>2173</v>
      </c>
      <c r="B1102" t="s">
        <v>2174</v>
      </c>
      <c r="C1102">
        <v>5</v>
      </c>
      <c r="D1102">
        <v>1419.3</v>
      </c>
      <c r="E1102">
        <v>1</v>
      </c>
    </row>
    <row r="1103" spans="1:5" x14ac:dyDescent="0.25">
      <c r="A1103" t="s">
        <v>2175</v>
      </c>
      <c r="B1103" t="s">
        <v>2176</v>
      </c>
      <c r="C1103">
        <v>5</v>
      </c>
      <c r="D1103">
        <v>1419.3</v>
      </c>
      <c r="E1103">
        <v>1</v>
      </c>
    </row>
    <row r="1104" spans="1:5" x14ac:dyDescent="0.25">
      <c r="A1104" t="s">
        <v>2177</v>
      </c>
      <c r="B1104" t="s">
        <v>2178</v>
      </c>
      <c r="C1104">
        <v>5</v>
      </c>
      <c r="D1104">
        <v>1419.3</v>
      </c>
      <c r="E1104">
        <v>1</v>
      </c>
    </row>
    <row r="1105" spans="1:5" x14ac:dyDescent="0.25">
      <c r="A1105" t="s">
        <v>2179</v>
      </c>
      <c r="B1105" t="s">
        <v>2180</v>
      </c>
      <c r="C1105">
        <v>5</v>
      </c>
      <c r="D1105">
        <v>1419.3</v>
      </c>
      <c r="E1105">
        <v>1</v>
      </c>
    </row>
    <row r="1106" spans="1:5" x14ac:dyDescent="0.25">
      <c r="A1106" t="s">
        <v>2181</v>
      </c>
      <c r="B1106" t="s">
        <v>2182</v>
      </c>
      <c r="C1106">
        <v>5</v>
      </c>
      <c r="D1106">
        <v>1419.3</v>
      </c>
      <c r="E1106">
        <v>1</v>
      </c>
    </row>
    <row r="1107" spans="1:5" x14ac:dyDescent="0.25">
      <c r="A1107" t="s">
        <v>2183</v>
      </c>
      <c r="B1107" t="s">
        <v>2184</v>
      </c>
      <c r="C1107">
        <v>5</v>
      </c>
      <c r="D1107">
        <v>1419.3</v>
      </c>
      <c r="E1107">
        <v>1</v>
      </c>
    </row>
    <row r="1108" spans="1:5" x14ac:dyDescent="0.25">
      <c r="A1108" t="s">
        <v>2185</v>
      </c>
      <c r="B1108" t="s">
        <v>2186</v>
      </c>
      <c r="C1108">
        <v>5</v>
      </c>
      <c r="D1108">
        <v>1419.3</v>
      </c>
      <c r="E1108">
        <v>1</v>
      </c>
    </row>
    <row r="1109" spans="1:5" x14ac:dyDescent="0.25">
      <c r="A1109" t="s">
        <v>2187</v>
      </c>
      <c r="B1109" t="s">
        <v>2188</v>
      </c>
      <c r="C1109">
        <v>5</v>
      </c>
      <c r="D1109">
        <v>1419.3</v>
      </c>
      <c r="E1109">
        <v>1</v>
      </c>
    </row>
    <row r="1110" spans="1:5" x14ac:dyDescent="0.25">
      <c r="A1110" t="s">
        <v>2189</v>
      </c>
      <c r="B1110" t="s">
        <v>2190</v>
      </c>
      <c r="C1110">
        <v>5</v>
      </c>
      <c r="D1110">
        <v>1419.3</v>
      </c>
      <c r="E1110">
        <v>1</v>
      </c>
    </row>
    <row r="1111" spans="1:5" x14ac:dyDescent="0.25">
      <c r="A1111" t="s">
        <v>2191</v>
      </c>
      <c r="B1111" t="s">
        <v>2192</v>
      </c>
      <c r="C1111">
        <v>5</v>
      </c>
      <c r="D1111">
        <v>1419.3</v>
      </c>
      <c r="E1111">
        <v>1</v>
      </c>
    </row>
    <row r="1112" spans="1:5" x14ac:dyDescent="0.25">
      <c r="A1112" t="s">
        <v>2193</v>
      </c>
      <c r="B1112" t="s">
        <v>2194</v>
      </c>
      <c r="C1112">
        <v>5</v>
      </c>
      <c r="D1112">
        <v>1419.3</v>
      </c>
      <c r="E1112">
        <v>1</v>
      </c>
    </row>
    <row r="1113" spans="1:5" x14ac:dyDescent="0.25">
      <c r="A1113" t="s">
        <v>2195</v>
      </c>
      <c r="B1113" t="s">
        <v>2196</v>
      </c>
      <c r="C1113">
        <v>5</v>
      </c>
      <c r="D1113">
        <v>1419.3</v>
      </c>
      <c r="E1113">
        <v>1</v>
      </c>
    </row>
    <row r="1114" spans="1:5" x14ac:dyDescent="0.25">
      <c r="A1114" t="s">
        <v>2197</v>
      </c>
      <c r="B1114" t="s">
        <v>2198</v>
      </c>
      <c r="C1114">
        <v>5</v>
      </c>
      <c r="D1114">
        <v>1419.3</v>
      </c>
      <c r="E1114">
        <v>1</v>
      </c>
    </row>
    <row r="1115" spans="1:5" x14ac:dyDescent="0.25">
      <c r="A1115" t="s">
        <v>2199</v>
      </c>
      <c r="B1115" t="s">
        <v>2200</v>
      </c>
      <c r="C1115">
        <v>4</v>
      </c>
      <c r="D1115">
        <v>1135.4000000000001</v>
      </c>
      <c r="E1115">
        <v>6</v>
      </c>
    </row>
    <row r="1116" spans="1:5" x14ac:dyDescent="0.25">
      <c r="A1116" t="s">
        <v>2201</v>
      </c>
      <c r="B1116" t="s">
        <v>2202</v>
      </c>
      <c r="C1116">
        <v>4</v>
      </c>
      <c r="D1116">
        <v>1135.4000000000001</v>
      </c>
      <c r="E1116">
        <v>6</v>
      </c>
    </row>
    <row r="1117" spans="1:5" x14ac:dyDescent="0.25">
      <c r="A1117" t="s">
        <v>2203</v>
      </c>
      <c r="B1117" t="s">
        <v>2204</v>
      </c>
      <c r="C1117">
        <v>4</v>
      </c>
      <c r="D1117">
        <v>1135.4000000000001</v>
      </c>
      <c r="E1117">
        <v>2</v>
      </c>
    </row>
    <row r="1118" spans="1:5" x14ac:dyDescent="0.25">
      <c r="A1118" t="s">
        <v>2205</v>
      </c>
      <c r="B1118" t="s">
        <v>2206</v>
      </c>
      <c r="C1118">
        <v>4</v>
      </c>
      <c r="D1118">
        <v>1135.4000000000001</v>
      </c>
      <c r="E1118">
        <v>2</v>
      </c>
    </row>
    <row r="1119" spans="1:5" x14ac:dyDescent="0.25">
      <c r="A1119" t="s">
        <v>2207</v>
      </c>
      <c r="B1119" t="s">
        <v>2208</v>
      </c>
      <c r="C1119">
        <v>4</v>
      </c>
      <c r="D1119">
        <v>1135.4000000000001</v>
      </c>
      <c r="E1119">
        <v>11</v>
      </c>
    </row>
    <row r="1120" spans="1:5" x14ac:dyDescent="0.25">
      <c r="A1120" t="s">
        <v>2209</v>
      </c>
      <c r="B1120" t="s">
        <v>2210</v>
      </c>
      <c r="C1120">
        <v>5</v>
      </c>
      <c r="D1120">
        <v>1419.3</v>
      </c>
      <c r="E1120">
        <v>0</v>
      </c>
    </row>
    <row r="1121" spans="1:5" x14ac:dyDescent="0.25">
      <c r="A1121" t="s">
        <v>2211</v>
      </c>
      <c r="B1121" t="s">
        <v>2212</v>
      </c>
      <c r="C1121">
        <v>4</v>
      </c>
      <c r="D1121">
        <v>1135.4000000000001</v>
      </c>
      <c r="E1121">
        <v>11</v>
      </c>
    </row>
    <row r="1122" spans="1:5" x14ac:dyDescent="0.25">
      <c r="A1122" t="s">
        <v>2213</v>
      </c>
      <c r="B1122" t="s">
        <v>2214</v>
      </c>
      <c r="C1122">
        <v>4</v>
      </c>
      <c r="D1122">
        <v>1135.4000000000001</v>
      </c>
      <c r="E1122">
        <v>11</v>
      </c>
    </row>
    <row r="1123" spans="1:5" x14ac:dyDescent="0.25">
      <c r="A1123" t="s">
        <v>2215</v>
      </c>
      <c r="B1123" t="s">
        <v>2216</v>
      </c>
      <c r="C1123">
        <v>4</v>
      </c>
      <c r="D1123">
        <v>1135.4000000000001</v>
      </c>
      <c r="E1123">
        <v>11</v>
      </c>
    </row>
    <row r="1124" spans="1:5" x14ac:dyDescent="0.25">
      <c r="A1124" t="s">
        <v>2217</v>
      </c>
      <c r="B1124" t="s">
        <v>2218</v>
      </c>
      <c r="C1124">
        <v>5</v>
      </c>
      <c r="D1124">
        <v>1419.3</v>
      </c>
      <c r="E1124">
        <v>5</v>
      </c>
    </row>
    <row r="1125" spans="1:5" x14ac:dyDescent="0.25">
      <c r="A1125" t="s">
        <v>2219</v>
      </c>
      <c r="B1125" t="s">
        <v>2220</v>
      </c>
      <c r="C1125">
        <v>5</v>
      </c>
      <c r="D1125">
        <v>1419.3</v>
      </c>
      <c r="E1125">
        <v>11</v>
      </c>
    </row>
    <row r="1126" spans="1:5" x14ac:dyDescent="0.25">
      <c r="A1126" t="s">
        <v>2221</v>
      </c>
      <c r="B1126" t="s">
        <v>2222</v>
      </c>
      <c r="C1126">
        <v>5</v>
      </c>
      <c r="D1126">
        <v>1419.3</v>
      </c>
      <c r="E1126">
        <v>11</v>
      </c>
    </row>
    <row r="1127" spans="1:5" x14ac:dyDescent="0.25">
      <c r="A1127" t="s">
        <v>2223</v>
      </c>
      <c r="B1127" t="s">
        <v>2224</v>
      </c>
      <c r="C1127">
        <v>3</v>
      </c>
      <c r="D1127">
        <v>851.6</v>
      </c>
      <c r="E1127">
        <v>9</v>
      </c>
    </row>
    <row r="1128" spans="1:5" x14ac:dyDescent="0.25">
      <c r="A1128" t="s">
        <v>2225</v>
      </c>
      <c r="B1128" t="s">
        <v>2226</v>
      </c>
      <c r="C1128">
        <v>5</v>
      </c>
      <c r="D1128">
        <v>1419.3</v>
      </c>
      <c r="E1128">
        <v>2</v>
      </c>
    </row>
    <row r="1129" spans="1:5" x14ac:dyDescent="0.25">
      <c r="A1129" t="s">
        <v>2227</v>
      </c>
      <c r="B1129" t="s">
        <v>2228</v>
      </c>
      <c r="C1129">
        <v>9</v>
      </c>
      <c r="D1129">
        <v>2554.6999999999998</v>
      </c>
      <c r="E1129">
        <v>0</v>
      </c>
    </row>
    <row r="1130" spans="1:5" x14ac:dyDescent="0.25">
      <c r="A1130" t="s">
        <v>2229</v>
      </c>
      <c r="B1130" t="s">
        <v>2230</v>
      </c>
      <c r="C1130">
        <v>5</v>
      </c>
      <c r="D1130">
        <v>1419.3</v>
      </c>
      <c r="E1130">
        <v>12</v>
      </c>
    </row>
    <row r="1131" spans="1:5" x14ac:dyDescent="0.25">
      <c r="A1131" t="s">
        <v>2231</v>
      </c>
      <c r="B1131" t="s">
        <v>2232</v>
      </c>
      <c r="C1131">
        <v>179.8</v>
      </c>
      <c r="D1131">
        <v>7188.8</v>
      </c>
      <c r="E1131">
        <v>0</v>
      </c>
    </row>
    <row r="1132" spans="1:5" x14ac:dyDescent="0.25">
      <c r="A1132" t="s">
        <v>2233</v>
      </c>
      <c r="B1132" t="s">
        <v>2232</v>
      </c>
      <c r="C1132">
        <v>179.8</v>
      </c>
      <c r="D1132">
        <v>7188.8</v>
      </c>
      <c r="E1132">
        <v>0</v>
      </c>
    </row>
    <row r="1133" spans="1:5" x14ac:dyDescent="0.25">
      <c r="A1133" t="s">
        <v>2234</v>
      </c>
      <c r="B1133" t="s">
        <v>2235</v>
      </c>
      <c r="C1133">
        <v>103.65</v>
      </c>
      <c r="D1133">
        <v>4144.1000000000004</v>
      </c>
      <c r="E1133">
        <v>0</v>
      </c>
    </row>
    <row r="1134" spans="1:5" x14ac:dyDescent="0.25">
      <c r="A1134" t="s">
        <v>2236</v>
      </c>
      <c r="B1134" t="s">
        <v>2232</v>
      </c>
      <c r="C1134">
        <v>5</v>
      </c>
      <c r="D1134">
        <v>1419.3</v>
      </c>
      <c r="E1134">
        <v>1</v>
      </c>
    </row>
    <row r="1135" spans="1:5" x14ac:dyDescent="0.25">
      <c r="A1135" t="s">
        <v>2237</v>
      </c>
      <c r="B1135" t="s">
        <v>2232</v>
      </c>
      <c r="C1135">
        <v>5</v>
      </c>
      <c r="D1135">
        <v>1419.3</v>
      </c>
      <c r="E1135">
        <v>1</v>
      </c>
    </row>
    <row r="1136" spans="1:5" x14ac:dyDescent="0.25">
      <c r="A1136" t="s">
        <v>2238</v>
      </c>
      <c r="B1136" t="s">
        <v>2239</v>
      </c>
      <c r="C1136">
        <v>13</v>
      </c>
      <c r="D1136">
        <v>3690.1</v>
      </c>
      <c r="E1136">
        <v>0</v>
      </c>
    </row>
    <row r="1137" spans="1:5" x14ac:dyDescent="0.25">
      <c r="A1137" t="s">
        <v>2240</v>
      </c>
      <c r="B1137" t="s">
        <v>2232</v>
      </c>
      <c r="C1137">
        <v>5</v>
      </c>
      <c r="D1137">
        <v>1419.3</v>
      </c>
      <c r="E1137">
        <v>1</v>
      </c>
    </row>
    <row r="1138" spans="1:5" x14ac:dyDescent="0.25">
      <c r="A1138" t="s">
        <v>2241</v>
      </c>
      <c r="B1138" t="s">
        <v>2232</v>
      </c>
      <c r="C1138">
        <v>5</v>
      </c>
      <c r="D1138">
        <v>1419.3</v>
      </c>
      <c r="E1138">
        <v>1</v>
      </c>
    </row>
    <row r="1139" spans="1:5" x14ac:dyDescent="0.25">
      <c r="A1139" t="s">
        <v>2242</v>
      </c>
      <c r="B1139" t="s">
        <v>2232</v>
      </c>
      <c r="C1139">
        <v>103.65</v>
      </c>
      <c r="D1139">
        <v>4144.1000000000004</v>
      </c>
      <c r="E1139">
        <v>0</v>
      </c>
    </row>
    <row r="1140" spans="1:5" x14ac:dyDescent="0.25">
      <c r="A1140" t="s">
        <v>2243</v>
      </c>
      <c r="B1140" t="s">
        <v>2244</v>
      </c>
      <c r="C1140">
        <v>15</v>
      </c>
      <c r="D1140">
        <v>4257.8</v>
      </c>
      <c r="E1140">
        <v>1</v>
      </c>
    </row>
    <row r="1141" spans="1:5" x14ac:dyDescent="0.25">
      <c r="A1141" t="s">
        <v>2245</v>
      </c>
      <c r="B1141" t="s">
        <v>2244</v>
      </c>
      <c r="C1141">
        <v>15</v>
      </c>
      <c r="D1141">
        <v>4257.8</v>
      </c>
      <c r="E1141">
        <v>1</v>
      </c>
    </row>
    <row r="1142" spans="1:5" x14ac:dyDescent="0.25">
      <c r="A1142" t="s">
        <v>2246</v>
      </c>
      <c r="B1142" t="s">
        <v>2232</v>
      </c>
      <c r="C1142">
        <v>15</v>
      </c>
      <c r="D1142">
        <v>4257.8</v>
      </c>
      <c r="E1142">
        <v>1</v>
      </c>
    </row>
    <row r="1143" spans="1:5" x14ac:dyDescent="0.25">
      <c r="A1143" t="s">
        <v>2247</v>
      </c>
      <c r="B1143" t="s">
        <v>2230</v>
      </c>
      <c r="C1143">
        <v>5</v>
      </c>
      <c r="D1143">
        <v>1419.3</v>
      </c>
      <c r="E1143">
        <v>12</v>
      </c>
    </row>
    <row r="1144" spans="1:5" x14ac:dyDescent="0.25">
      <c r="A1144" t="s">
        <v>2248</v>
      </c>
      <c r="B1144" t="s">
        <v>2232</v>
      </c>
      <c r="C1144">
        <v>5</v>
      </c>
      <c r="D1144">
        <v>1419.3</v>
      </c>
      <c r="E1144">
        <v>1</v>
      </c>
    </row>
    <row r="1145" spans="1:5" x14ac:dyDescent="0.25">
      <c r="A1145" t="s">
        <v>2249</v>
      </c>
      <c r="B1145" t="s">
        <v>2232</v>
      </c>
      <c r="C1145">
        <v>15</v>
      </c>
      <c r="D1145">
        <v>4257.8</v>
      </c>
      <c r="E1145">
        <v>1</v>
      </c>
    </row>
    <row r="1146" spans="1:5" x14ac:dyDescent="0.25">
      <c r="A1146" t="s">
        <v>2250</v>
      </c>
      <c r="B1146" t="s">
        <v>2232</v>
      </c>
      <c r="C1146">
        <v>5</v>
      </c>
      <c r="D1146">
        <v>1419.3</v>
      </c>
      <c r="E1146">
        <v>1</v>
      </c>
    </row>
    <row r="1147" spans="1:5" x14ac:dyDescent="0.25">
      <c r="A1147" t="s">
        <v>2251</v>
      </c>
      <c r="B1147" t="s">
        <v>2252</v>
      </c>
      <c r="C1147">
        <v>5</v>
      </c>
      <c r="D1147">
        <v>1419.3</v>
      </c>
      <c r="E1147">
        <v>1</v>
      </c>
    </row>
    <row r="1148" spans="1:5" x14ac:dyDescent="0.25">
      <c r="A1148" t="s">
        <v>2253</v>
      </c>
      <c r="B1148" t="s">
        <v>2254</v>
      </c>
      <c r="C1148">
        <v>5</v>
      </c>
      <c r="D1148">
        <v>1419.3</v>
      </c>
      <c r="E1148">
        <v>1</v>
      </c>
    </row>
    <row r="1149" spans="1:5" x14ac:dyDescent="0.25">
      <c r="A1149" t="s">
        <v>2255</v>
      </c>
      <c r="B1149" t="s">
        <v>2256</v>
      </c>
      <c r="C1149">
        <v>5</v>
      </c>
      <c r="D1149">
        <v>1419.3</v>
      </c>
      <c r="E1149">
        <v>1</v>
      </c>
    </row>
    <row r="1150" spans="1:5" x14ac:dyDescent="0.25">
      <c r="A1150" t="s">
        <v>2257</v>
      </c>
      <c r="B1150" t="s">
        <v>2258</v>
      </c>
      <c r="C1150">
        <v>5</v>
      </c>
      <c r="D1150">
        <v>1419.3</v>
      </c>
      <c r="E1150">
        <v>1</v>
      </c>
    </row>
    <row r="1151" spans="1:5" x14ac:dyDescent="0.25">
      <c r="A1151" t="s">
        <v>2259</v>
      </c>
      <c r="B1151" t="s">
        <v>2260</v>
      </c>
      <c r="C1151">
        <v>7</v>
      </c>
      <c r="D1151">
        <v>1987</v>
      </c>
      <c r="E1151">
        <v>1</v>
      </c>
    </row>
    <row r="1152" spans="1:5" x14ac:dyDescent="0.25">
      <c r="A1152" t="s">
        <v>2261</v>
      </c>
      <c r="B1152" t="s">
        <v>2260</v>
      </c>
      <c r="C1152">
        <v>7</v>
      </c>
      <c r="D1152">
        <v>1987</v>
      </c>
      <c r="E1152">
        <v>1</v>
      </c>
    </row>
    <row r="1153" spans="1:5" x14ac:dyDescent="0.25">
      <c r="A1153" t="s">
        <v>2262</v>
      </c>
      <c r="B1153" t="s">
        <v>2263</v>
      </c>
      <c r="C1153">
        <v>7</v>
      </c>
      <c r="D1153">
        <v>1987</v>
      </c>
      <c r="E1153">
        <v>1</v>
      </c>
    </row>
    <row r="1154" spans="1:5" x14ac:dyDescent="0.25">
      <c r="A1154" t="s">
        <v>2264</v>
      </c>
      <c r="B1154" t="s">
        <v>2265</v>
      </c>
      <c r="C1154">
        <v>7</v>
      </c>
      <c r="D1154">
        <v>1987</v>
      </c>
      <c r="E1154">
        <v>1</v>
      </c>
    </row>
    <row r="1155" spans="1:5" x14ac:dyDescent="0.25">
      <c r="A1155" t="s">
        <v>2266</v>
      </c>
      <c r="B1155" t="s">
        <v>2267</v>
      </c>
      <c r="C1155">
        <v>7</v>
      </c>
      <c r="D1155">
        <v>1987</v>
      </c>
      <c r="E1155">
        <v>1</v>
      </c>
    </row>
    <row r="1156" spans="1:5" x14ac:dyDescent="0.25">
      <c r="A1156" t="s">
        <v>2268</v>
      </c>
      <c r="B1156" t="s">
        <v>2269</v>
      </c>
      <c r="C1156">
        <v>7</v>
      </c>
      <c r="D1156">
        <v>1987</v>
      </c>
      <c r="E1156">
        <v>1</v>
      </c>
    </row>
    <row r="1157" spans="1:5" x14ac:dyDescent="0.25">
      <c r="A1157" t="s">
        <v>2270</v>
      </c>
      <c r="B1157" t="s">
        <v>2271</v>
      </c>
      <c r="C1157">
        <v>6</v>
      </c>
      <c r="D1157">
        <v>1703.1</v>
      </c>
      <c r="E1157">
        <v>7</v>
      </c>
    </row>
    <row r="1158" spans="1:5" x14ac:dyDescent="0.25">
      <c r="A1158" t="s">
        <v>2272</v>
      </c>
      <c r="B1158" t="s">
        <v>2273</v>
      </c>
      <c r="C1158">
        <v>13</v>
      </c>
      <c r="D1158">
        <v>3690.1</v>
      </c>
      <c r="E1158">
        <v>0</v>
      </c>
    </row>
    <row r="1159" spans="1:5" x14ac:dyDescent="0.25">
      <c r="A1159" t="s">
        <v>2274</v>
      </c>
      <c r="B1159" t="s">
        <v>2275</v>
      </c>
      <c r="C1159">
        <v>13</v>
      </c>
      <c r="D1159">
        <v>3690.1</v>
      </c>
      <c r="E1159">
        <v>12</v>
      </c>
    </row>
    <row r="1160" spans="1:5" x14ac:dyDescent="0.25">
      <c r="A1160" t="s">
        <v>2276</v>
      </c>
      <c r="B1160" t="s">
        <v>2277</v>
      </c>
      <c r="C1160">
        <v>13</v>
      </c>
      <c r="D1160">
        <v>3690.1</v>
      </c>
      <c r="E1160">
        <v>12</v>
      </c>
    </row>
    <row r="1161" spans="1:5" x14ac:dyDescent="0.25">
      <c r="A1161" t="s">
        <v>2278</v>
      </c>
      <c r="B1161" t="s">
        <v>2279</v>
      </c>
      <c r="C1161">
        <v>13</v>
      </c>
      <c r="D1161">
        <v>3690.1</v>
      </c>
      <c r="E1161">
        <v>12</v>
      </c>
    </row>
    <row r="1162" spans="1:5" x14ac:dyDescent="0.25">
      <c r="A1162" t="s">
        <v>2280</v>
      </c>
      <c r="B1162" t="s">
        <v>2281</v>
      </c>
      <c r="C1162">
        <v>13</v>
      </c>
      <c r="D1162">
        <v>3690.1</v>
      </c>
      <c r="E1162">
        <v>11</v>
      </c>
    </row>
    <row r="1163" spans="1:5" x14ac:dyDescent="0.25">
      <c r="A1163" t="s">
        <v>2282</v>
      </c>
      <c r="B1163" t="s">
        <v>2283</v>
      </c>
      <c r="C1163">
        <v>13</v>
      </c>
      <c r="D1163">
        <v>3690.1</v>
      </c>
      <c r="E1163">
        <v>8</v>
      </c>
    </row>
    <row r="1164" spans="1:5" x14ac:dyDescent="0.25">
      <c r="A1164" t="s">
        <v>2284</v>
      </c>
      <c r="B1164" t="s">
        <v>2285</v>
      </c>
      <c r="C1164">
        <v>5</v>
      </c>
      <c r="D1164">
        <v>1419.3</v>
      </c>
      <c r="E1164">
        <v>11</v>
      </c>
    </row>
    <row r="1165" spans="1:5" x14ac:dyDescent="0.25">
      <c r="A1165" t="s">
        <v>2286</v>
      </c>
      <c r="B1165" t="s">
        <v>2287</v>
      </c>
      <c r="C1165">
        <v>9</v>
      </c>
      <c r="D1165">
        <v>2554.6999999999998</v>
      </c>
      <c r="E1165">
        <v>5</v>
      </c>
    </row>
    <row r="1166" spans="1:5" x14ac:dyDescent="0.25">
      <c r="A1166" t="s">
        <v>2288</v>
      </c>
      <c r="B1166" t="s">
        <v>2289</v>
      </c>
      <c r="C1166">
        <v>6</v>
      </c>
      <c r="D1166">
        <v>1703.1</v>
      </c>
      <c r="E1166">
        <v>6</v>
      </c>
    </row>
    <row r="1167" spans="1:5" x14ac:dyDescent="0.25">
      <c r="A1167" t="s">
        <v>2290</v>
      </c>
      <c r="B1167" t="s">
        <v>2291</v>
      </c>
      <c r="C1167">
        <v>6</v>
      </c>
      <c r="D1167">
        <v>1703.1</v>
      </c>
      <c r="E1167">
        <v>11</v>
      </c>
    </row>
    <row r="1168" spans="1:5" x14ac:dyDescent="0.25">
      <c r="A1168" t="s">
        <v>2292</v>
      </c>
      <c r="B1168" t="s">
        <v>2293</v>
      </c>
      <c r="C1168">
        <v>6</v>
      </c>
      <c r="D1168">
        <v>1703.1</v>
      </c>
      <c r="E1168">
        <v>11</v>
      </c>
    </row>
    <row r="1169" spans="1:5" x14ac:dyDescent="0.25">
      <c r="A1169" t="s">
        <v>2294</v>
      </c>
      <c r="B1169" t="s">
        <v>2295</v>
      </c>
      <c r="C1169">
        <v>13</v>
      </c>
      <c r="D1169">
        <v>3690.1</v>
      </c>
      <c r="E1169">
        <v>5</v>
      </c>
    </row>
    <row r="1170" spans="1:5" x14ac:dyDescent="0.25">
      <c r="A1170" t="s">
        <v>2296</v>
      </c>
      <c r="B1170" t="s">
        <v>2297</v>
      </c>
      <c r="C1170">
        <v>13</v>
      </c>
      <c r="D1170">
        <v>3690.1</v>
      </c>
      <c r="E1170">
        <v>5</v>
      </c>
    </row>
    <row r="1171" spans="1:5" x14ac:dyDescent="0.25">
      <c r="A1171" t="s">
        <v>2298</v>
      </c>
      <c r="B1171" t="s">
        <v>2299</v>
      </c>
      <c r="C1171">
        <v>13</v>
      </c>
      <c r="D1171">
        <v>3690.1</v>
      </c>
      <c r="E1171">
        <v>5</v>
      </c>
    </row>
    <row r="1172" spans="1:5" x14ac:dyDescent="0.25">
      <c r="A1172" t="s">
        <v>2300</v>
      </c>
      <c r="B1172" t="s">
        <v>2301</v>
      </c>
      <c r="C1172">
        <v>13</v>
      </c>
      <c r="D1172">
        <v>3690.1</v>
      </c>
      <c r="E1172">
        <v>5</v>
      </c>
    </row>
    <row r="1173" spans="1:5" x14ac:dyDescent="0.25">
      <c r="A1173" t="s">
        <v>2302</v>
      </c>
      <c r="B1173" t="s">
        <v>2303</v>
      </c>
      <c r="C1173">
        <v>9</v>
      </c>
      <c r="D1173">
        <v>2554.6999999999998</v>
      </c>
      <c r="E1173">
        <v>2</v>
      </c>
    </row>
    <row r="1174" spans="1:5" x14ac:dyDescent="0.25">
      <c r="A1174" t="s">
        <v>2304</v>
      </c>
      <c r="B1174" t="s">
        <v>2305</v>
      </c>
      <c r="C1174">
        <v>6</v>
      </c>
      <c r="D1174">
        <v>1703.1</v>
      </c>
      <c r="E1174">
        <v>2</v>
      </c>
    </row>
    <row r="1175" spans="1:5" x14ac:dyDescent="0.25">
      <c r="A1175" t="s">
        <v>2306</v>
      </c>
      <c r="B1175" t="s">
        <v>2307</v>
      </c>
      <c r="C1175">
        <v>9</v>
      </c>
      <c r="D1175">
        <v>2554.6999999999998</v>
      </c>
      <c r="E1175">
        <v>2</v>
      </c>
    </row>
    <row r="1176" spans="1:5" x14ac:dyDescent="0.25">
      <c r="A1176" t="s">
        <v>2308</v>
      </c>
      <c r="B1176" t="s">
        <v>2309</v>
      </c>
      <c r="C1176">
        <v>9</v>
      </c>
      <c r="D1176">
        <v>2554.6999999999998</v>
      </c>
      <c r="E1176">
        <v>2</v>
      </c>
    </row>
    <row r="1177" spans="1:5" x14ac:dyDescent="0.25">
      <c r="A1177" t="s">
        <v>2310</v>
      </c>
      <c r="B1177" t="s">
        <v>2311</v>
      </c>
      <c r="C1177">
        <v>9</v>
      </c>
      <c r="D1177">
        <v>2554.6999999999998</v>
      </c>
      <c r="E1177">
        <v>2</v>
      </c>
    </row>
    <row r="1178" spans="1:5" x14ac:dyDescent="0.25">
      <c r="A1178" t="s">
        <v>2312</v>
      </c>
      <c r="B1178" t="s">
        <v>2313</v>
      </c>
      <c r="C1178">
        <v>9</v>
      </c>
      <c r="D1178">
        <v>2554.6999999999998</v>
      </c>
      <c r="E1178">
        <v>11</v>
      </c>
    </row>
    <row r="1179" spans="1:5" x14ac:dyDescent="0.25">
      <c r="A1179" t="s">
        <v>2314</v>
      </c>
      <c r="B1179" t="s">
        <v>2315</v>
      </c>
      <c r="C1179">
        <v>5</v>
      </c>
      <c r="D1179">
        <v>1419.3</v>
      </c>
      <c r="E1179">
        <v>11</v>
      </c>
    </row>
    <row r="1180" spans="1:5" x14ac:dyDescent="0.25">
      <c r="A1180" t="s">
        <v>2316</v>
      </c>
      <c r="B1180" t="s">
        <v>2317</v>
      </c>
      <c r="C1180">
        <v>13</v>
      </c>
      <c r="D1180">
        <v>3690.1</v>
      </c>
      <c r="E1180">
        <v>0</v>
      </c>
    </row>
    <row r="1181" spans="1:5" x14ac:dyDescent="0.25">
      <c r="A1181" t="s">
        <v>2318</v>
      </c>
      <c r="B1181" t="s">
        <v>2319</v>
      </c>
      <c r="C1181">
        <v>13</v>
      </c>
      <c r="D1181">
        <v>3690.1</v>
      </c>
      <c r="E1181">
        <v>12</v>
      </c>
    </row>
    <row r="1182" spans="1:5" x14ac:dyDescent="0.25">
      <c r="A1182" t="s">
        <v>2320</v>
      </c>
      <c r="B1182" t="s">
        <v>2321</v>
      </c>
      <c r="C1182">
        <v>13</v>
      </c>
      <c r="D1182">
        <v>3690.1</v>
      </c>
      <c r="E1182">
        <v>12</v>
      </c>
    </row>
    <row r="1183" spans="1:5" x14ac:dyDescent="0.25">
      <c r="A1183" t="s">
        <v>2322</v>
      </c>
      <c r="B1183" t="s">
        <v>2323</v>
      </c>
      <c r="C1183">
        <v>13</v>
      </c>
      <c r="D1183">
        <v>3690.1</v>
      </c>
      <c r="E1183">
        <v>12</v>
      </c>
    </row>
    <row r="1184" spans="1:5" x14ac:dyDescent="0.25">
      <c r="A1184" t="s">
        <v>2324</v>
      </c>
      <c r="B1184" t="s">
        <v>2325</v>
      </c>
      <c r="C1184">
        <v>13</v>
      </c>
      <c r="D1184">
        <v>3690.1</v>
      </c>
      <c r="E1184">
        <v>11</v>
      </c>
    </row>
    <row r="1185" spans="1:5" x14ac:dyDescent="0.25">
      <c r="A1185" t="s">
        <v>2326</v>
      </c>
      <c r="B1185" t="s">
        <v>2327</v>
      </c>
      <c r="C1185">
        <v>13</v>
      </c>
      <c r="D1185">
        <v>3690.1</v>
      </c>
      <c r="E1185">
        <v>8</v>
      </c>
    </row>
    <row r="1186" spans="1:5" x14ac:dyDescent="0.25">
      <c r="A1186" t="s">
        <v>2328</v>
      </c>
      <c r="B1186" t="s">
        <v>2329</v>
      </c>
      <c r="C1186">
        <v>13</v>
      </c>
      <c r="D1186">
        <v>3690.1</v>
      </c>
      <c r="E1186">
        <v>12</v>
      </c>
    </row>
    <row r="1187" spans="1:5" x14ac:dyDescent="0.25">
      <c r="A1187" t="s">
        <v>2330</v>
      </c>
      <c r="B1187" t="s">
        <v>2331</v>
      </c>
      <c r="C1187">
        <v>5</v>
      </c>
      <c r="D1187">
        <v>1419.3</v>
      </c>
      <c r="E1187">
        <v>12</v>
      </c>
    </row>
    <row r="1188" spans="1:5" x14ac:dyDescent="0.25">
      <c r="A1188" t="s">
        <v>2332</v>
      </c>
      <c r="B1188" t="s">
        <v>2333</v>
      </c>
      <c r="C1188">
        <v>9</v>
      </c>
      <c r="D1188">
        <v>2554.6999999999998</v>
      </c>
      <c r="E1188">
        <v>12</v>
      </c>
    </row>
    <row r="1189" spans="1:5" x14ac:dyDescent="0.25">
      <c r="A1189" t="s">
        <v>2334</v>
      </c>
      <c r="B1189" t="s">
        <v>2335</v>
      </c>
      <c r="C1189">
        <v>9</v>
      </c>
      <c r="D1189">
        <v>2554.6999999999998</v>
      </c>
      <c r="E1189">
        <v>12</v>
      </c>
    </row>
    <row r="1190" spans="1:5" x14ac:dyDescent="0.25">
      <c r="A1190" t="s">
        <v>2336</v>
      </c>
      <c r="B1190" t="s">
        <v>2337</v>
      </c>
      <c r="C1190">
        <v>5</v>
      </c>
      <c r="D1190">
        <v>1419.3</v>
      </c>
      <c r="E1190">
        <v>12</v>
      </c>
    </row>
    <row r="1191" spans="1:5" x14ac:dyDescent="0.25">
      <c r="A1191" t="s">
        <v>2338</v>
      </c>
      <c r="B1191" t="s">
        <v>2339</v>
      </c>
      <c r="C1191">
        <v>13</v>
      </c>
      <c r="D1191">
        <v>3690.1</v>
      </c>
      <c r="E1191">
        <v>5</v>
      </c>
    </row>
    <row r="1192" spans="1:5" x14ac:dyDescent="0.25">
      <c r="A1192" t="s">
        <v>2340</v>
      </c>
      <c r="B1192" t="s">
        <v>2341</v>
      </c>
      <c r="C1192">
        <v>9</v>
      </c>
      <c r="D1192">
        <v>2554.6999999999998</v>
      </c>
      <c r="E1192">
        <v>2</v>
      </c>
    </row>
    <row r="1193" spans="1:5" x14ac:dyDescent="0.25">
      <c r="A1193" t="s">
        <v>2342</v>
      </c>
      <c r="B1193" t="s">
        <v>2343</v>
      </c>
      <c r="C1193">
        <v>6</v>
      </c>
      <c r="D1193">
        <v>1703.1</v>
      </c>
      <c r="E1193">
        <v>6</v>
      </c>
    </row>
    <row r="1194" spans="1:5" x14ac:dyDescent="0.25">
      <c r="A1194" t="s">
        <v>2344</v>
      </c>
      <c r="B1194" t="s">
        <v>2345</v>
      </c>
      <c r="C1194">
        <v>6</v>
      </c>
      <c r="D1194">
        <v>1703.1</v>
      </c>
      <c r="E1194">
        <v>2</v>
      </c>
    </row>
    <row r="1195" spans="1:5" x14ac:dyDescent="0.25">
      <c r="A1195" t="s">
        <v>2346</v>
      </c>
      <c r="B1195" t="s">
        <v>2347</v>
      </c>
      <c r="C1195">
        <v>6</v>
      </c>
      <c r="D1195">
        <v>1703.1</v>
      </c>
      <c r="E1195">
        <v>3</v>
      </c>
    </row>
    <row r="1196" spans="1:5" x14ac:dyDescent="0.25">
      <c r="A1196" t="s">
        <v>2348</v>
      </c>
      <c r="B1196" t="s">
        <v>2349</v>
      </c>
      <c r="C1196">
        <v>6</v>
      </c>
      <c r="D1196">
        <v>1703.1</v>
      </c>
      <c r="E1196">
        <v>12</v>
      </c>
    </row>
    <row r="1197" spans="1:5" x14ac:dyDescent="0.25">
      <c r="A1197" t="s">
        <v>2350</v>
      </c>
      <c r="B1197" t="s">
        <v>2351</v>
      </c>
      <c r="C1197">
        <v>13</v>
      </c>
      <c r="D1197">
        <v>3690.1</v>
      </c>
      <c r="E1197">
        <v>8</v>
      </c>
    </row>
    <row r="1198" spans="1:5" x14ac:dyDescent="0.25">
      <c r="A1198" t="s">
        <v>2352</v>
      </c>
      <c r="B1198" t="s">
        <v>2353</v>
      </c>
      <c r="C1198">
        <v>11</v>
      </c>
      <c r="D1198">
        <v>3122.4</v>
      </c>
      <c r="E1198">
        <v>2</v>
      </c>
    </row>
    <row r="1199" spans="1:5" x14ac:dyDescent="0.25">
      <c r="A1199" t="s">
        <v>2354</v>
      </c>
      <c r="B1199" t="s">
        <v>2355</v>
      </c>
      <c r="C1199">
        <v>11</v>
      </c>
      <c r="D1199">
        <v>3122.4</v>
      </c>
      <c r="E1199">
        <v>1</v>
      </c>
    </row>
    <row r="1200" spans="1:5" x14ac:dyDescent="0.25">
      <c r="A1200" t="s">
        <v>2356</v>
      </c>
      <c r="B1200" t="s">
        <v>2357</v>
      </c>
      <c r="C1200">
        <v>11</v>
      </c>
      <c r="D1200">
        <v>3122.4</v>
      </c>
      <c r="E1200">
        <v>1</v>
      </c>
    </row>
    <row r="1201" spans="1:5" x14ac:dyDescent="0.25">
      <c r="A1201" t="s">
        <v>2358</v>
      </c>
      <c r="B1201" t="s">
        <v>2359</v>
      </c>
      <c r="C1201">
        <v>11</v>
      </c>
      <c r="D1201">
        <v>3122.4</v>
      </c>
      <c r="E1201">
        <v>1</v>
      </c>
    </row>
    <row r="1202" spans="1:5" x14ac:dyDescent="0.25">
      <c r="A1202" t="s">
        <v>2360</v>
      </c>
      <c r="B1202" t="s">
        <v>2361</v>
      </c>
      <c r="C1202">
        <v>11</v>
      </c>
      <c r="D1202">
        <v>3122.4</v>
      </c>
      <c r="E1202">
        <v>2</v>
      </c>
    </row>
    <row r="1203" spans="1:5" x14ac:dyDescent="0.25">
      <c r="A1203" t="s">
        <v>2362</v>
      </c>
      <c r="B1203" t="s">
        <v>2363</v>
      </c>
      <c r="C1203">
        <v>11</v>
      </c>
      <c r="D1203">
        <v>3122.4</v>
      </c>
      <c r="E1203">
        <v>1</v>
      </c>
    </row>
    <row r="1204" spans="1:5" x14ac:dyDescent="0.25">
      <c r="A1204" t="s">
        <v>2364</v>
      </c>
      <c r="B1204" t="s">
        <v>2365</v>
      </c>
      <c r="C1204">
        <v>11</v>
      </c>
      <c r="D1204">
        <v>3122.4</v>
      </c>
      <c r="E1204">
        <v>12</v>
      </c>
    </row>
    <row r="1205" spans="1:5" x14ac:dyDescent="0.25">
      <c r="A1205" t="s">
        <v>2366</v>
      </c>
      <c r="B1205" t="s">
        <v>2367</v>
      </c>
      <c r="C1205">
        <v>8</v>
      </c>
      <c r="D1205">
        <v>2270.8000000000002</v>
      </c>
      <c r="E1205">
        <v>1</v>
      </c>
    </row>
    <row r="1206" spans="1:5" x14ac:dyDescent="0.25">
      <c r="A1206" t="s">
        <v>2368</v>
      </c>
      <c r="B1206" t="s">
        <v>2369</v>
      </c>
      <c r="C1206">
        <v>11</v>
      </c>
      <c r="D1206">
        <v>3122.4</v>
      </c>
      <c r="E1206">
        <v>1</v>
      </c>
    </row>
    <row r="1207" spans="1:5" x14ac:dyDescent="0.25">
      <c r="A1207" t="s">
        <v>2370</v>
      </c>
      <c r="B1207" t="s">
        <v>2371</v>
      </c>
      <c r="C1207">
        <v>11</v>
      </c>
      <c r="D1207">
        <v>3122.4</v>
      </c>
      <c r="E1207">
        <v>1</v>
      </c>
    </row>
    <row r="1208" spans="1:5" x14ac:dyDescent="0.25">
      <c r="A1208" t="s">
        <v>2372</v>
      </c>
      <c r="B1208" t="s">
        <v>2373</v>
      </c>
      <c r="C1208">
        <v>11</v>
      </c>
      <c r="D1208">
        <v>3122.4</v>
      </c>
      <c r="E1208">
        <v>1</v>
      </c>
    </row>
    <row r="1209" spans="1:5" x14ac:dyDescent="0.25">
      <c r="A1209" t="s">
        <v>2374</v>
      </c>
      <c r="B1209" t="s">
        <v>2375</v>
      </c>
      <c r="C1209">
        <v>8</v>
      </c>
      <c r="D1209">
        <v>2270.8000000000002</v>
      </c>
      <c r="E1209">
        <v>1</v>
      </c>
    </row>
    <row r="1210" spans="1:5" x14ac:dyDescent="0.25">
      <c r="A1210" t="s">
        <v>2376</v>
      </c>
      <c r="B1210" t="s">
        <v>2377</v>
      </c>
      <c r="C1210">
        <v>8</v>
      </c>
      <c r="D1210">
        <v>2270.8000000000002</v>
      </c>
      <c r="E1210">
        <v>3</v>
      </c>
    </row>
    <row r="1211" spans="1:5" x14ac:dyDescent="0.25">
      <c r="A1211" t="s">
        <v>2378</v>
      </c>
      <c r="B1211" t="s">
        <v>2379</v>
      </c>
      <c r="C1211">
        <v>3</v>
      </c>
      <c r="D1211">
        <v>851.6</v>
      </c>
      <c r="E1211">
        <v>8</v>
      </c>
    </row>
    <row r="1212" spans="1:5" x14ac:dyDescent="0.25">
      <c r="A1212" t="s">
        <v>2380</v>
      </c>
      <c r="B1212" t="s">
        <v>2381</v>
      </c>
      <c r="C1212">
        <v>3</v>
      </c>
      <c r="D1212">
        <v>851.6</v>
      </c>
      <c r="E1212">
        <v>8</v>
      </c>
    </row>
    <row r="1213" spans="1:5" x14ac:dyDescent="0.25">
      <c r="A1213" t="s">
        <v>2382</v>
      </c>
      <c r="B1213" t="s">
        <v>2383</v>
      </c>
      <c r="C1213">
        <v>3</v>
      </c>
      <c r="D1213">
        <v>851.6</v>
      </c>
      <c r="E1213">
        <v>8</v>
      </c>
    </row>
    <row r="1214" spans="1:5" x14ac:dyDescent="0.25">
      <c r="A1214" t="s">
        <v>2384</v>
      </c>
      <c r="B1214" t="s">
        <v>2385</v>
      </c>
      <c r="C1214">
        <v>3</v>
      </c>
      <c r="D1214">
        <v>851.6</v>
      </c>
      <c r="E1214">
        <v>7</v>
      </c>
    </row>
    <row r="1215" spans="1:5" x14ac:dyDescent="0.25">
      <c r="A1215" t="s">
        <v>2386</v>
      </c>
      <c r="B1215" t="s">
        <v>2387</v>
      </c>
      <c r="C1215">
        <v>3</v>
      </c>
      <c r="D1215">
        <v>851.6</v>
      </c>
      <c r="E1215">
        <v>8</v>
      </c>
    </row>
    <row r="1216" spans="1:5" x14ac:dyDescent="0.25">
      <c r="A1216" t="s">
        <v>2388</v>
      </c>
      <c r="B1216" t="s">
        <v>2389</v>
      </c>
      <c r="C1216">
        <v>3</v>
      </c>
      <c r="D1216">
        <v>851.6</v>
      </c>
      <c r="E1216">
        <v>8</v>
      </c>
    </row>
    <row r="1217" spans="1:5" x14ac:dyDescent="0.25">
      <c r="A1217" t="s">
        <v>2390</v>
      </c>
      <c r="B1217" t="s">
        <v>2391</v>
      </c>
      <c r="C1217">
        <v>3</v>
      </c>
      <c r="D1217">
        <v>851.6</v>
      </c>
      <c r="E1217">
        <v>8</v>
      </c>
    </row>
    <row r="1218" spans="1:5" x14ac:dyDescent="0.25">
      <c r="A1218" t="s">
        <v>2392</v>
      </c>
      <c r="B1218" t="s">
        <v>2393</v>
      </c>
      <c r="C1218">
        <v>3</v>
      </c>
      <c r="D1218">
        <v>851.6</v>
      </c>
      <c r="E1218">
        <v>8</v>
      </c>
    </row>
    <row r="1219" spans="1:5" x14ac:dyDescent="0.25">
      <c r="A1219" t="s">
        <v>2394</v>
      </c>
      <c r="B1219" t="s">
        <v>2395</v>
      </c>
      <c r="C1219">
        <v>4</v>
      </c>
      <c r="D1219">
        <v>1135.4000000000001</v>
      </c>
      <c r="E1219">
        <v>8</v>
      </c>
    </row>
    <row r="1220" spans="1:5" x14ac:dyDescent="0.25">
      <c r="A1220" t="s">
        <v>2396</v>
      </c>
      <c r="B1220" t="s">
        <v>2397</v>
      </c>
      <c r="C1220">
        <v>3</v>
      </c>
      <c r="D1220">
        <v>851.6</v>
      </c>
      <c r="E1220">
        <v>8</v>
      </c>
    </row>
    <row r="1221" spans="1:5" x14ac:dyDescent="0.25">
      <c r="A1221" t="s">
        <v>2398</v>
      </c>
      <c r="B1221" t="s">
        <v>2397</v>
      </c>
      <c r="C1221">
        <v>3</v>
      </c>
      <c r="D1221">
        <v>851.6</v>
      </c>
      <c r="E1221">
        <v>8</v>
      </c>
    </row>
    <row r="1222" spans="1:5" x14ac:dyDescent="0.25">
      <c r="A1222" t="s">
        <v>2399</v>
      </c>
      <c r="B1222" t="s">
        <v>2400</v>
      </c>
      <c r="C1222">
        <v>3</v>
      </c>
      <c r="D1222">
        <v>851.6</v>
      </c>
      <c r="E1222">
        <v>6</v>
      </c>
    </row>
    <row r="1223" spans="1:5" x14ac:dyDescent="0.25">
      <c r="A1223" t="s">
        <v>2401</v>
      </c>
      <c r="B1223" t="s">
        <v>2402</v>
      </c>
      <c r="C1223">
        <v>3</v>
      </c>
      <c r="D1223">
        <v>851.6</v>
      </c>
      <c r="E1223">
        <v>6</v>
      </c>
    </row>
    <row r="1224" spans="1:5" x14ac:dyDescent="0.25">
      <c r="A1224" t="s">
        <v>2403</v>
      </c>
      <c r="B1224" t="s">
        <v>2404</v>
      </c>
      <c r="C1224">
        <v>3</v>
      </c>
      <c r="D1224">
        <v>851.6</v>
      </c>
      <c r="E1224">
        <v>8</v>
      </c>
    </row>
    <row r="1225" spans="1:5" x14ac:dyDescent="0.25">
      <c r="A1225" t="s">
        <v>2405</v>
      </c>
      <c r="B1225" t="s">
        <v>2406</v>
      </c>
      <c r="C1225">
        <v>3</v>
      </c>
      <c r="D1225">
        <v>851.6</v>
      </c>
      <c r="E1225">
        <v>8</v>
      </c>
    </row>
    <row r="1226" spans="1:5" x14ac:dyDescent="0.25">
      <c r="A1226" t="s">
        <v>2407</v>
      </c>
      <c r="B1226" t="s">
        <v>2408</v>
      </c>
      <c r="C1226">
        <v>5</v>
      </c>
      <c r="D1226">
        <v>1419.3</v>
      </c>
      <c r="E1226">
        <v>5</v>
      </c>
    </row>
    <row r="1227" spans="1:5" x14ac:dyDescent="0.25">
      <c r="A1227" t="s">
        <v>2409</v>
      </c>
      <c r="B1227" t="s">
        <v>2410</v>
      </c>
      <c r="C1227">
        <v>5</v>
      </c>
      <c r="D1227">
        <v>1419.3</v>
      </c>
      <c r="E1227">
        <v>1</v>
      </c>
    </row>
    <row r="1228" spans="1:5" x14ac:dyDescent="0.25">
      <c r="A1228" t="s">
        <v>2411</v>
      </c>
      <c r="B1228" t="s">
        <v>2412</v>
      </c>
      <c r="C1228">
        <v>5</v>
      </c>
      <c r="D1228">
        <v>1419.3</v>
      </c>
      <c r="E1228">
        <v>5</v>
      </c>
    </row>
    <row r="1229" spans="1:5" x14ac:dyDescent="0.25">
      <c r="A1229" t="s">
        <v>2413</v>
      </c>
      <c r="B1229" t="s">
        <v>2414</v>
      </c>
      <c r="C1229">
        <v>5</v>
      </c>
      <c r="D1229">
        <v>1419.3</v>
      </c>
      <c r="E1229">
        <v>6</v>
      </c>
    </row>
    <row r="1230" spans="1:5" x14ac:dyDescent="0.25">
      <c r="A1230" t="s">
        <v>2415</v>
      </c>
      <c r="B1230" t="s">
        <v>2416</v>
      </c>
      <c r="C1230">
        <v>5</v>
      </c>
      <c r="D1230">
        <v>1419.3</v>
      </c>
      <c r="E1230">
        <v>1</v>
      </c>
    </row>
    <row r="1231" spans="1:5" x14ac:dyDescent="0.25">
      <c r="A1231" t="s">
        <v>2417</v>
      </c>
      <c r="B1231" t="s">
        <v>2418</v>
      </c>
      <c r="C1231">
        <v>5</v>
      </c>
      <c r="D1231">
        <v>1419.3</v>
      </c>
      <c r="E1231">
        <v>3</v>
      </c>
    </row>
    <row r="1232" spans="1:5" x14ac:dyDescent="0.25">
      <c r="A1232" t="s">
        <v>2419</v>
      </c>
      <c r="B1232" t="s">
        <v>2420</v>
      </c>
      <c r="C1232">
        <v>5</v>
      </c>
      <c r="D1232">
        <v>1419.3</v>
      </c>
      <c r="E1232">
        <v>6</v>
      </c>
    </row>
    <row r="1233" spans="1:5" x14ac:dyDescent="0.25">
      <c r="A1233" t="s">
        <v>2421</v>
      </c>
      <c r="B1233" t="s">
        <v>2422</v>
      </c>
      <c r="C1233">
        <v>5</v>
      </c>
      <c r="D1233">
        <v>1419.3</v>
      </c>
      <c r="E1233">
        <v>8</v>
      </c>
    </row>
    <row r="1234" spans="1:5" x14ac:dyDescent="0.25">
      <c r="A1234" t="s">
        <v>2423</v>
      </c>
      <c r="B1234" t="s">
        <v>2424</v>
      </c>
      <c r="C1234">
        <v>5</v>
      </c>
      <c r="D1234">
        <v>1419.3</v>
      </c>
      <c r="E1234">
        <v>8</v>
      </c>
    </row>
    <row r="1235" spans="1:5" x14ac:dyDescent="0.25">
      <c r="A1235" t="s">
        <v>2425</v>
      </c>
      <c r="B1235" t="s">
        <v>2426</v>
      </c>
      <c r="C1235">
        <v>5</v>
      </c>
      <c r="D1235">
        <v>1419.3</v>
      </c>
      <c r="E1235">
        <v>0</v>
      </c>
    </row>
    <row r="1236" spans="1:5" x14ac:dyDescent="0.25">
      <c r="A1236" t="s">
        <v>2427</v>
      </c>
      <c r="B1236" t="s">
        <v>2428</v>
      </c>
      <c r="C1236">
        <v>5</v>
      </c>
      <c r="D1236">
        <v>1419.3</v>
      </c>
      <c r="E1236">
        <v>8</v>
      </c>
    </row>
    <row r="1237" spans="1:5" x14ac:dyDescent="0.25">
      <c r="A1237" t="s">
        <v>2429</v>
      </c>
      <c r="B1237" t="s">
        <v>2430</v>
      </c>
      <c r="C1237">
        <v>5</v>
      </c>
      <c r="D1237">
        <v>1419.3</v>
      </c>
      <c r="E1237">
        <v>8</v>
      </c>
    </row>
    <row r="1238" spans="1:5" x14ac:dyDescent="0.25">
      <c r="A1238" t="s">
        <v>2431</v>
      </c>
      <c r="B1238" t="s">
        <v>2432</v>
      </c>
      <c r="C1238">
        <v>5</v>
      </c>
      <c r="D1238">
        <v>1419.3</v>
      </c>
      <c r="E1238">
        <v>8</v>
      </c>
    </row>
    <row r="1239" spans="1:5" x14ac:dyDescent="0.25">
      <c r="A1239" t="s">
        <v>2433</v>
      </c>
      <c r="B1239" t="s">
        <v>2434</v>
      </c>
      <c r="C1239">
        <v>5</v>
      </c>
      <c r="D1239">
        <v>1419.3</v>
      </c>
      <c r="E1239">
        <v>8</v>
      </c>
    </row>
    <row r="1240" spans="1:5" x14ac:dyDescent="0.25">
      <c r="A1240" t="s">
        <v>2435</v>
      </c>
      <c r="B1240" t="s">
        <v>2436</v>
      </c>
      <c r="C1240">
        <v>5</v>
      </c>
      <c r="D1240">
        <v>1419.3</v>
      </c>
      <c r="E1240">
        <v>8</v>
      </c>
    </row>
    <row r="1241" spans="1:5" x14ac:dyDescent="0.25">
      <c r="A1241" t="s">
        <v>2437</v>
      </c>
      <c r="B1241" t="s">
        <v>2438</v>
      </c>
      <c r="C1241">
        <v>5</v>
      </c>
      <c r="D1241">
        <v>1419.3</v>
      </c>
      <c r="E1241">
        <v>8</v>
      </c>
    </row>
    <row r="1242" spans="1:5" x14ac:dyDescent="0.25">
      <c r="A1242" t="s">
        <v>2439</v>
      </c>
      <c r="B1242" t="s">
        <v>2440</v>
      </c>
      <c r="C1242">
        <v>5</v>
      </c>
      <c r="D1242">
        <v>1419.3</v>
      </c>
      <c r="E1242">
        <v>5</v>
      </c>
    </row>
    <row r="1243" spans="1:5" x14ac:dyDescent="0.25">
      <c r="A1243" t="s">
        <v>2441</v>
      </c>
      <c r="B1243" t="s">
        <v>2442</v>
      </c>
      <c r="C1243">
        <v>5</v>
      </c>
      <c r="D1243">
        <v>1419.3</v>
      </c>
      <c r="E1243">
        <v>1</v>
      </c>
    </row>
    <row r="1244" spans="1:5" x14ac:dyDescent="0.25">
      <c r="A1244" t="s">
        <v>2443</v>
      </c>
      <c r="B1244" t="s">
        <v>2444</v>
      </c>
      <c r="C1244">
        <v>5</v>
      </c>
      <c r="D1244">
        <v>1419.3</v>
      </c>
      <c r="E1244">
        <v>8</v>
      </c>
    </row>
    <row r="1245" spans="1:5" x14ac:dyDescent="0.25">
      <c r="A1245" t="s">
        <v>2445</v>
      </c>
      <c r="B1245" t="s">
        <v>2446</v>
      </c>
      <c r="C1245">
        <v>5</v>
      </c>
      <c r="D1245">
        <v>1419.3</v>
      </c>
      <c r="E1245">
        <v>5</v>
      </c>
    </row>
    <row r="1246" spans="1:5" x14ac:dyDescent="0.25">
      <c r="A1246" t="s">
        <v>2447</v>
      </c>
      <c r="B1246" t="s">
        <v>2448</v>
      </c>
      <c r="C1246">
        <v>5</v>
      </c>
      <c r="D1246">
        <v>1419.3</v>
      </c>
      <c r="E1246">
        <v>5</v>
      </c>
    </row>
    <row r="1247" spans="1:5" x14ac:dyDescent="0.25">
      <c r="A1247" t="s">
        <v>2449</v>
      </c>
      <c r="B1247" t="s">
        <v>2450</v>
      </c>
      <c r="C1247">
        <v>5</v>
      </c>
      <c r="D1247">
        <v>1419.3</v>
      </c>
      <c r="E1247">
        <v>5</v>
      </c>
    </row>
    <row r="1248" spans="1:5" x14ac:dyDescent="0.25">
      <c r="A1248" t="s">
        <v>2451</v>
      </c>
      <c r="B1248" t="s">
        <v>2452</v>
      </c>
      <c r="C1248">
        <v>5</v>
      </c>
      <c r="D1248">
        <v>1419.3</v>
      </c>
      <c r="E1248">
        <v>1</v>
      </c>
    </row>
    <row r="1249" spans="1:5" x14ac:dyDescent="0.25">
      <c r="A1249" t="s">
        <v>2453</v>
      </c>
      <c r="B1249" t="s">
        <v>2454</v>
      </c>
      <c r="C1249">
        <v>5</v>
      </c>
      <c r="D1249">
        <v>1419.3</v>
      </c>
      <c r="E1249">
        <v>1</v>
      </c>
    </row>
    <row r="1250" spans="1:5" x14ac:dyDescent="0.25">
      <c r="A1250" t="s">
        <v>2455</v>
      </c>
      <c r="B1250" t="s">
        <v>2456</v>
      </c>
      <c r="C1250">
        <v>5</v>
      </c>
      <c r="D1250">
        <v>1419.3</v>
      </c>
      <c r="E1250">
        <v>1</v>
      </c>
    </row>
    <row r="1251" spans="1:5" x14ac:dyDescent="0.25">
      <c r="A1251" t="s">
        <v>2457</v>
      </c>
      <c r="B1251" t="s">
        <v>2458</v>
      </c>
      <c r="C1251">
        <v>5</v>
      </c>
      <c r="D1251">
        <v>1419.3</v>
      </c>
      <c r="E1251">
        <v>1</v>
      </c>
    </row>
    <row r="1252" spans="1:5" x14ac:dyDescent="0.25">
      <c r="A1252" t="s">
        <v>2459</v>
      </c>
      <c r="B1252" t="s">
        <v>2460</v>
      </c>
      <c r="C1252">
        <v>5</v>
      </c>
      <c r="D1252">
        <v>1419.3</v>
      </c>
      <c r="E1252">
        <v>1</v>
      </c>
    </row>
    <row r="1253" spans="1:5" x14ac:dyDescent="0.25">
      <c r="A1253" t="s">
        <v>2461</v>
      </c>
      <c r="B1253" t="s">
        <v>2462</v>
      </c>
      <c r="C1253">
        <v>5</v>
      </c>
      <c r="D1253">
        <v>1419.3</v>
      </c>
      <c r="E1253">
        <v>1</v>
      </c>
    </row>
    <row r="1254" spans="1:5" x14ac:dyDescent="0.25">
      <c r="A1254" t="s">
        <v>2463</v>
      </c>
      <c r="B1254" t="s">
        <v>2464</v>
      </c>
      <c r="C1254">
        <v>5</v>
      </c>
      <c r="D1254">
        <v>1419.3</v>
      </c>
      <c r="E1254">
        <v>1</v>
      </c>
    </row>
    <row r="1255" spans="1:5" x14ac:dyDescent="0.25">
      <c r="A1255" t="s">
        <v>2465</v>
      </c>
      <c r="B1255" t="s">
        <v>2466</v>
      </c>
      <c r="C1255">
        <v>5</v>
      </c>
      <c r="D1255">
        <v>1419.3</v>
      </c>
      <c r="E1255">
        <v>1</v>
      </c>
    </row>
    <row r="1256" spans="1:5" x14ac:dyDescent="0.25">
      <c r="A1256" t="s">
        <v>2467</v>
      </c>
      <c r="B1256" t="s">
        <v>2468</v>
      </c>
      <c r="C1256">
        <v>5</v>
      </c>
      <c r="D1256">
        <v>1419.3</v>
      </c>
      <c r="E1256">
        <v>1</v>
      </c>
    </row>
    <row r="1257" spans="1:5" x14ac:dyDescent="0.25">
      <c r="A1257" t="s">
        <v>2469</v>
      </c>
      <c r="B1257" t="s">
        <v>2470</v>
      </c>
      <c r="C1257">
        <v>5</v>
      </c>
      <c r="D1257">
        <v>1419.3</v>
      </c>
      <c r="E1257">
        <v>6</v>
      </c>
    </row>
    <row r="1258" spans="1:5" x14ac:dyDescent="0.25">
      <c r="A1258" t="s">
        <v>2471</v>
      </c>
      <c r="B1258" t="s">
        <v>2472</v>
      </c>
      <c r="C1258">
        <v>5</v>
      </c>
      <c r="D1258">
        <v>1419.3</v>
      </c>
      <c r="E1258">
        <v>6</v>
      </c>
    </row>
    <row r="1259" spans="1:5" x14ac:dyDescent="0.25">
      <c r="A1259" t="s">
        <v>2473</v>
      </c>
      <c r="B1259" t="s">
        <v>2474</v>
      </c>
      <c r="C1259">
        <v>5</v>
      </c>
      <c r="D1259">
        <v>1419.3</v>
      </c>
      <c r="E1259">
        <v>6</v>
      </c>
    </row>
    <row r="1260" spans="1:5" x14ac:dyDescent="0.25">
      <c r="A1260" t="s">
        <v>2475</v>
      </c>
      <c r="B1260" t="s">
        <v>2476</v>
      </c>
      <c r="C1260">
        <v>5</v>
      </c>
      <c r="D1260">
        <v>1419.3</v>
      </c>
      <c r="E1260">
        <v>8</v>
      </c>
    </row>
    <row r="1261" spans="1:5" x14ac:dyDescent="0.25">
      <c r="A1261" t="s">
        <v>2477</v>
      </c>
      <c r="B1261" t="s">
        <v>2478</v>
      </c>
      <c r="C1261">
        <v>5</v>
      </c>
      <c r="D1261">
        <v>1419.3</v>
      </c>
      <c r="E1261">
        <v>8</v>
      </c>
    </row>
    <row r="1262" spans="1:5" x14ac:dyDescent="0.25">
      <c r="A1262" t="s">
        <v>2479</v>
      </c>
      <c r="B1262" t="s">
        <v>2480</v>
      </c>
      <c r="C1262">
        <v>5</v>
      </c>
      <c r="D1262">
        <v>1419.3</v>
      </c>
      <c r="E1262">
        <v>8</v>
      </c>
    </row>
    <row r="1263" spans="1:5" x14ac:dyDescent="0.25">
      <c r="A1263" t="s">
        <v>2481</v>
      </c>
      <c r="B1263" t="s">
        <v>2482</v>
      </c>
      <c r="C1263">
        <v>5</v>
      </c>
      <c r="D1263">
        <v>1419.3</v>
      </c>
      <c r="E1263">
        <v>8</v>
      </c>
    </row>
    <row r="1264" spans="1:5" x14ac:dyDescent="0.25">
      <c r="A1264" t="s">
        <v>2483</v>
      </c>
      <c r="B1264" t="s">
        <v>2484</v>
      </c>
      <c r="C1264">
        <v>5</v>
      </c>
      <c r="D1264">
        <v>1419.3</v>
      </c>
      <c r="E1264">
        <v>8</v>
      </c>
    </row>
    <row r="1265" spans="1:5" x14ac:dyDescent="0.25">
      <c r="A1265" t="s">
        <v>2485</v>
      </c>
      <c r="B1265" t="s">
        <v>2486</v>
      </c>
      <c r="C1265">
        <v>5</v>
      </c>
      <c r="D1265">
        <v>1419.3</v>
      </c>
      <c r="E1265">
        <v>8</v>
      </c>
    </row>
    <row r="1266" spans="1:5" x14ac:dyDescent="0.25">
      <c r="A1266" t="s">
        <v>2487</v>
      </c>
      <c r="B1266" t="s">
        <v>2488</v>
      </c>
      <c r="C1266">
        <v>5</v>
      </c>
      <c r="D1266">
        <v>1419.3</v>
      </c>
      <c r="E1266">
        <v>0</v>
      </c>
    </row>
    <row r="1267" spans="1:5" x14ac:dyDescent="0.25">
      <c r="A1267" t="s">
        <v>2489</v>
      </c>
      <c r="B1267" t="s">
        <v>2490</v>
      </c>
      <c r="C1267">
        <v>5</v>
      </c>
      <c r="D1267">
        <v>1419.3</v>
      </c>
      <c r="E1267">
        <v>0</v>
      </c>
    </row>
    <row r="1268" spans="1:5" x14ac:dyDescent="0.25">
      <c r="A1268" t="s">
        <v>2491</v>
      </c>
      <c r="B1268" t="s">
        <v>2492</v>
      </c>
      <c r="C1268">
        <v>5</v>
      </c>
      <c r="D1268">
        <v>1419.3</v>
      </c>
      <c r="E1268">
        <v>5</v>
      </c>
    </row>
    <row r="1269" spans="1:5" x14ac:dyDescent="0.25">
      <c r="A1269" t="s">
        <v>2493</v>
      </c>
      <c r="B1269" t="s">
        <v>2494</v>
      </c>
      <c r="C1269">
        <v>5</v>
      </c>
      <c r="D1269">
        <v>1419.3</v>
      </c>
      <c r="E1269">
        <v>2</v>
      </c>
    </row>
    <row r="1270" spans="1:5" x14ac:dyDescent="0.25">
      <c r="A1270" t="s">
        <v>2495</v>
      </c>
      <c r="B1270" t="s">
        <v>2496</v>
      </c>
      <c r="C1270">
        <v>5</v>
      </c>
      <c r="D1270">
        <v>1419.3</v>
      </c>
      <c r="E1270">
        <v>2</v>
      </c>
    </row>
    <row r="1271" spans="1:5" x14ac:dyDescent="0.25">
      <c r="A1271" t="s">
        <v>2497</v>
      </c>
      <c r="B1271" t="s">
        <v>516</v>
      </c>
      <c r="C1271">
        <v>5</v>
      </c>
      <c r="D1271">
        <v>1419.3</v>
      </c>
      <c r="E1271">
        <v>1</v>
      </c>
    </row>
    <row r="1273" spans="1:5" x14ac:dyDescent="0.25">
      <c r="A1273" t="s">
        <v>2498</v>
      </c>
      <c r="B1273" t="s">
        <v>2499</v>
      </c>
      <c r="C1273" t="s">
        <v>2500</v>
      </c>
      <c r="D1273" t="s">
        <v>2501</v>
      </c>
    </row>
    <row r="1274" spans="1:5" x14ac:dyDescent="0.25">
      <c r="A1274" t="s">
        <v>2502</v>
      </c>
      <c r="B1274" t="s">
        <v>2503</v>
      </c>
      <c r="C1274">
        <v>2.04</v>
      </c>
      <c r="D1274" t="s">
        <v>2504</v>
      </c>
    </row>
    <row r="1275" spans="1:5" x14ac:dyDescent="0.25">
      <c r="A1275" t="s">
        <v>2505</v>
      </c>
      <c r="B1275" t="s">
        <v>2506</v>
      </c>
      <c r="C1275">
        <v>2.2999999999999998</v>
      </c>
      <c r="D1275" t="s">
        <v>2507</v>
      </c>
    </row>
    <row r="1276" spans="1:5" x14ac:dyDescent="0.25">
      <c r="A1276" t="s">
        <v>2508</v>
      </c>
      <c r="B1276" t="s">
        <v>2509</v>
      </c>
      <c r="C1276">
        <v>3</v>
      </c>
      <c r="D1276" t="s">
        <v>2504</v>
      </c>
    </row>
    <row r="1277" spans="1:5" x14ac:dyDescent="0.25">
      <c r="A1277" t="s">
        <v>2510</v>
      </c>
      <c r="B1277" t="s">
        <v>2511</v>
      </c>
      <c r="C1277">
        <v>2</v>
      </c>
      <c r="D1277" t="s">
        <v>2504</v>
      </c>
    </row>
    <row r="1278" spans="1:5" x14ac:dyDescent="0.25">
      <c r="A1278" t="s">
        <v>2512</v>
      </c>
      <c r="B1278" t="s">
        <v>2513</v>
      </c>
      <c r="C1278">
        <v>2.14</v>
      </c>
      <c r="D1278" t="s">
        <v>2504</v>
      </c>
    </row>
    <row r="1280" spans="1:5" x14ac:dyDescent="0.25">
      <c r="A1280" t="s">
        <v>2514</v>
      </c>
      <c r="B1280" t="s">
        <v>6</v>
      </c>
      <c r="C1280" t="s">
        <v>2515</v>
      </c>
      <c r="D1280" t="s">
        <v>2516</v>
      </c>
      <c r="E1280" t="s">
        <v>2517</v>
      </c>
    </row>
    <row r="1281" spans="1:5" x14ac:dyDescent="0.25">
      <c r="A1281" t="s">
        <v>2518</v>
      </c>
      <c r="B1281" t="s">
        <v>2519</v>
      </c>
      <c r="C1281">
        <v>3</v>
      </c>
      <c r="D1281" t="s">
        <v>2520</v>
      </c>
      <c r="E1281" t="s">
        <v>2521</v>
      </c>
    </row>
    <row r="1282" spans="1:5" x14ac:dyDescent="0.25">
      <c r="A1282" t="s">
        <v>2522</v>
      </c>
      <c r="B1282" t="s">
        <v>2523</v>
      </c>
      <c r="C1282">
        <v>5</v>
      </c>
      <c r="D1282" t="s">
        <v>2520</v>
      </c>
      <c r="E1282" t="s">
        <v>2524</v>
      </c>
    </row>
    <row r="1283" spans="1:5" x14ac:dyDescent="0.25">
      <c r="A1283" t="s">
        <v>2525</v>
      </c>
      <c r="B1283" t="s">
        <v>2526</v>
      </c>
      <c r="C1283">
        <v>0</v>
      </c>
      <c r="D1283" t="s">
        <v>2520</v>
      </c>
      <c r="E1283" t="s">
        <v>2521</v>
      </c>
    </row>
    <row r="1284" spans="1:5" x14ac:dyDescent="0.25">
      <c r="A1284" t="s">
        <v>608</v>
      </c>
      <c r="B1284" t="s">
        <v>2527</v>
      </c>
      <c r="C1284">
        <v>25</v>
      </c>
      <c r="D1284" t="s">
        <v>2528</v>
      </c>
      <c r="E1284" t="s">
        <v>2529</v>
      </c>
    </row>
    <row r="1285" spans="1:5" x14ac:dyDescent="0.25">
      <c r="A1285" t="s">
        <v>614</v>
      </c>
      <c r="B1285" t="s">
        <v>2530</v>
      </c>
      <c r="C1285">
        <v>25</v>
      </c>
      <c r="D1285" t="s">
        <v>2528</v>
      </c>
      <c r="E1285" t="s">
        <v>2529</v>
      </c>
    </row>
    <row r="1286" spans="1:5" x14ac:dyDescent="0.25">
      <c r="A1286" t="s">
        <v>612</v>
      </c>
      <c r="B1286" t="s">
        <v>2531</v>
      </c>
      <c r="C1286">
        <v>10</v>
      </c>
      <c r="D1286" t="s">
        <v>2528</v>
      </c>
      <c r="E1286" t="s">
        <v>2529</v>
      </c>
    </row>
    <row r="1287" spans="1:5" x14ac:dyDescent="0.25">
      <c r="A1287" t="s">
        <v>2532</v>
      </c>
      <c r="B1287" t="s">
        <v>2533</v>
      </c>
      <c r="C1287">
        <v>4</v>
      </c>
      <c r="D1287" t="s">
        <v>2520</v>
      </c>
      <c r="E1287" t="s">
        <v>2534</v>
      </c>
    </row>
    <row r="1288" spans="1:5" x14ac:dyDescent="0.25">
      <c r="A1288" t="s">
        <v>1815</v>
      </c>
      <c r="B1288" t="s">
        <v>2535</v>
      </c>
      <c r="C1288">
        <v>36</v>
      </c>
      <c r="D1288" t="s">
        <v>2528</v>
      </c>
      <c r="E1288" t="s">
        <v>2534</v>
      </c>
    </row>
    <row r="1289" spans="1:5" x14ac:dyDescent="0.25">
      <c r="A1289" t="s">
        <v>2536</v>
      </c>
      <c r="B1289" t="s">
        <v>2537</v>
      </c>
      <c r="C1289">
        <v>36</v>
      </c>
      <c r="D1289" t="s">
        <v>2528</v>
      </c>
      <c r="E1289" t="s">
        <v>2534</v>
      </c>
    </row>
    <row r="1290" spans="1:5" x14ac:dyDescent="0.25">
      <c r="A1290" t="s">
        <v>1817</v>
      </c>
      <c r="B1290" t="s">
        <v>2538</v>
      </c>
      <c r="C1290">
        <v>25</v>
      </c>
      <c r="D1290" t="s">
        <v>2528</v>
      </c>
      <c r="E1290" t="s">
        <v>2534</v>
      </c>
    </row>
    <row r="1291" spans="1:5" x14ac:dyDescent="0.25">
      <c r="A1291" t="s">
        <v>2539</v>
      </c>
      <c r="B1291" t="s">
        <v>2540</v>
      </c>
      <c r="C1291">
        <v>8</v>
      </c>
      <c r="D1291" t="s">
        <v>2528</v>
      </c>
      <c r="E1291" t="s">
        <v>2524</v>
      </c>
    </row>
    <row r="1292" spans="1:5" x14ac:dyDescent="0.25">
      <c r="A1292" t="s">
        <v>1121</v>
      </c>
      <c r="B1292" t="s">
        <v>2541</v>
      </c>
      <c r="C1292">
        <v>5</v>
      </c>
      <c r="D1292" t="s">
        <v>2520</v>
      </c>
      <c r="E1292" t="s">
        <v>2524</v>
      </c>
    </row>
    <row r="1293" spans="1:5" x14ac:dyDescent="0.25">
      <c r="A1293" t="s">
        <v>618</v>
      </c>
      <c r="B1293" t="s">
        <v>2542</v>
      </c>
      <c r="C1293">
        <v>30</v>
      </c>
      <c r="D1293" t="s">
        <v>2528</v>
      </c>
      <c r="E1293" t="s">
        <v>2524</v>
      </c>
    </row>
    <row r="1295" spans="1:5" x14ac:dyDescent="0.25">
      <c r="A1295" t="s">
        <v>2543</v>
      </c>
      <c r="B1295" t="s">
        <v>6</v>
      </c>
      <c r="C1295" t="s">
        <v>2544</v>
      </c>
      <c r="D1295" t="s">
        <v>2545</v>
      </c>
    </row>
    <row r="1296" spans="1:5" x14ac:dyDescent="0.25">
      <c r="A1296" t="s">
        <v>2546</v>
      </c>
      <c r="B1296" t="s">
        <v>2547</v>
      </c>
      <c r="C1296">
        <v>1040.2</v>
      </c>
      <c r="D1296">
        <v>510</v>
      </c>
    </row>
    <row r="1297" spans="1:4" x14ac:dyDescent="0.25">
      <c r="A1297" t="s">
        <v>2548</v>
      </c>
      <c r="B1297" t="s">
        <v>2549</v>
      </c>
      <c r="C1297">
        <v>1040.2</v>
      </c>
      <c r="D1297">
        <v>510</v>
      </c>
    </row>
    <row r="1298" spans="1:4" x14ac:dyDescent="0.25">
      <c r="A1298" t="s">
        <v>2550</v>
      </c>
      <c r="B1298" t="s">
        <v>2551</v>
      </c>
      <c r="C1298">
        <v>1040.2</v>
      </c>
      <c r="D1298">
        <v>510</v>
      </c>
    </row>
    <row r="1299" spans="1:4" x14ac:dyDescent="0.25">
      <c r="A1299" t="s">
        <v>2552</v>
      </c>
      <c r="B1299" t="s">
        <v>2553</v>
      </c>
      <c r="C1299">
        <v>490.2</v>
      </c>
      <c r="D1299">
        <v>240.3</v>
      </c>
    </row>
    <row r="1300" spans="1:4" x14ac:dyDescent="0.25">
      <c r="A1300" t="s">
        <v>2554</v>
      </c>
      <c r="B1300" t="s">
        <v>2555</v>
      </c>
      <c r="C1300">
        <v>858.7</v>
      </c>
      <c r="D1300">
        <v>420.9</v>
      </c>
    </row>
    <row r="1301" spans="1:4" x14ac:dyDescent="0.25">
      <c r="A1301" t="s">
        <v>2556</v>
      </c>
      <c r="B1301" t="s">
        <v>2557</v>
      </c>
      <c r="C1301">
        <v>658.9</v>
      </c>
      <c r="D1301">
        <v>322.89999999999998</v>
      </c>
    </row>
    <row r="1302" spans="1:4" x14ac:dyDescent="0.25">
      <c r="A1302" t="s">
        <v>2558</v>
      </c>
      <c r="B1302" t="s">
        <v>2559</v>
      </c>
      <c r="C1302">
        <v>368</v>
      </c>
      <c r="D1302">
        <v>180.3</v>
      </c>
    </row>
    <row r="1303" spans="1:4" x14ac:dyDescent="0.25">
      <c r="A1303" t="s">
        <v>2560</v>
      </c>
      <c r="B1303" t="s">
        <v>2561</v>
      </c>
      <c r="C1303">
        <v>2021.7</v>
      </c>
      <c r="D1303">
        <v>991</v>
      </c>
    </row>
    <row r="1304" spans="1:4" x14ac:dyDescent="0.25">
      <c r="A1304" t="s">
        <v>2562</v>
      </c>
      <c r="B1304" t="s">
        <v>2563</v>
      </c>
      <c r="C1304">
        <v>2756.9</v>
      </c>
      <c r="D1304">
        <v>1351.6</v>
      </c>
    </row>
    <row r="1305" spans="1:4" x14ac:dyDescent="0.25">
      <c r="A1305" t="s">
        <v>2564</v>
      </c>
      <c r="B1305" t="s">
        <v>2565</v>
      </c>
      <c r="C1305">
        <v>586.70000000000005</v>
      </c>
      <c r="D1305">
        <v>287.60000000000002</v>
      </c>
    </row>
    <row r="1306" spans="1:4" x14ac:dyDescent="0.25">
      <c r="A1306" t="s">
        <v>2566</v>
      </c>
      <c r="B1306" t="s">
        <v>2567</v>
      </c>
      <c r="C1306">
        <v>1063</v>
      </c>
      <c r="D1306">
        <v>521</v>
      </c>
    </row>
    <row r="1307" spans="1:4" x14ac:dyDescent="0.25">
      <c r="A1307" t="s">
        <v>2568</v>
      </c>
      <c r="B1307" t="s">
        <v>2569</v>
      </c>
      <c r="C1307">
        <v>1173.4000000000001</v>
      </c>
      <c r="D1307">
        <v>575.20000000000005</v>
      </c>
    </row>
  </sheetData>
  <pageMargins left="0.75" right="0.75" top="1" bottom="1" header="0.5" footer="0.5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showGridLines="0" tabSelected="1" workbookViewId="0">
      <pane ySplit="4" topLeftCell="A5" activePane="bottomLeft" state="frozen"/>
      <selection pane="bottomLeft" activeCell="C23" sqref="C23"/>
    </sheetView>
  </sheetViews>
  <sheetFormatPr defaultRowHeight="15" x14ac:dyDescent="0.25"/>
  <cols>
    <col min="1" max="1" width="26" customWidth="1"/>
    <col min="2" max="2" width="27.28515625" bestFit="1" customWidth="1"/>
    <col min="3" max="3" width="42" customWidth="1"/>
    <col min="4" max="4" width="20" customWidth="1"/>
  </cols>
  <sheetData>
    <row r="1" spans="1:4" x14ac:dyDescent="0.25">
      <c r="A1" s="16" t="s">
        <v>2521</v>
      </c>
      <c r="B1" s="17" t="s">
        <v>2620</v>
      </c>
    </row>
    <row r="2" spans="1:4" x14ac:dyDescent="0.25">
      <c r="A2" s="18" t="s">
        <v>2570</v>
      </c>
      <c r="B2" s="19" t="s">
        <v>2618</v>
      </c>
    </row>
    <row r="3" spans="1:4" ht="15.75" thickBot="1" x14ac:dyDescent="0.3">
      <c r="A3" s="24" t="s">
        <v>2571</v>
      </c>
      <c r="B3" s="25" t="s">
        <v>2619</v>
      </c>
    </row>
    <row r="4" spans="1:4" ht="15.75" thickBot="1" x14ac:dyDescent="0.3">
      <c r="A4" s="26"/>
      <c r="B4" s="27"/>
    </row>
    <row r="5" spans="1:4" ht="15.75" thickBot="1" x14ac:dyDescent="0.3">
      <c r="A5" s="28" t="s">
        <v>2572</v>
      </c>
      <c r="B5" s="29" t="s">
        <v>2506</v>
      </c>
    </row>
    <row r="6" spans="1:4" ht="15.75" thickBot="1" x14ac:dyDescent="0.3">
      <c r="A6" s="26"/>
      <c r="B6" s="27"/>
    </row>
    <row r="7" spans="1:4" ht="15.75" thickBot="1" x14ac:dyDescent="0.3">
      <c r="A7" s="28" t="s">
        <v>2573</v>
      </c>
      <c r="B7" s="29" t="s">
        <v>62</v>
      </c>
      <c r="C7" s="14" t="str">
        <f>IF(B7="","",VLOOKUP(B7, Rates!$A$8:$B$1271, 2, FALSE))</f>
        <v>Laser treatment for large skin lesions: Whole face or other areas of e</v>
      </c>
    </row>
    <row r="8" spans="1:4" ht="15.75" thickBot="1" x14ac:dyDescent="0.3">
      <c r="A8" s="26"/>
      <c r="B8" s="27"/>
    </row>
    <row r="9" spans="1:4" ht="15.75" thickBot="1" x14ac:dyDescent="0.3">
      <c r="A9" s="28" t="s">
        <v>2574</v>
      </c>
      <c r="B9" s="29">
        <v>53</v>
      </c>
    </row>
    <row r="10" spans="1:4" ht="15.75" thickBot="1" x14ac:dyDescent="0.3">
      <c r="A10" s="26"/>
      <c r="B10" s="27"/>
    </row>
    <row r="11" spans="1:4" ht="15.75" thickBot="1" x14ac:dyDescent="0.3">
      <c r="A11" s="28" t="s">
        <v>2575</v>
      </c>
      <c r="B11" s="29" t="s">
        <v>2576</v>
      </c>
      <c r="C11" s="15" t="s">
        <v>2577</v>
      </c>
      <c r="D11" s="1"/>
    </row>
    <row r="12" spans="1:4" ht="15.75" thickBot="1" x14ac:dyDescent="0.3">
      <c r="A12" s="26"/>
      <c r="B12" s="27"/>
    </row>
    <row r="13" spans="1:4" x14ac:dyDescent="0.25">
      <c r="A13" s="16" t="s">
        <v>2578</v>
      </c>
      <c r="B13" s="17" t="s">
        <v>2546</v>
      </c>
    </row>
    <row r="14" spans="1:4" x14ac:dyDescent="0.25">
      <c r="A14" s="18" t="s">
        <v>2579</v>
      </c>
      <c r="B14" s="19" t="s">
        <v>2552</v>
      </c>
    </row>
    <row r="15" spans="1:4" ht="15.75" thickBot="1" x14ac:dyDescent="0.3">
      <c r="A15" s="24" t="s">
        <v>2580</v>
      </c>
      <c r="B15" s="25"/>
    </row>
    <row r="16" spans="1:4" ht="15.75" thickBot="1" x14ac:dyDescent="0.3">
      <c r="A16" s="26"/>
      <c r="B16" s="27"/>
    </row>
    <row r="17" spans="1:2" x14ac:dyDescent="0.25">
      <c r="A17" s="16" t="s">
        <v>2581</v>
      </c>
      <c r="B17" s="30" t="s">
        <v>2582</v>
      </c>
    </row>
    <row r="18" spans="1:2" x14ac:dyDescent="0.25">
      <c r="A18" s="20" t="s">
        <v>2518</v>
      </c>
      <c r="B18" s="21" t="s">
        <v>2617</v>
      </c>
    </row>
    <row r="19" spans="1:2" x14ac:dyDescent="0.25">
      <c r="A19" s="20" t="s">
        <v>2522</v>
      </c>
      <c r="B19" s="21" t="s">
        <v>2617</v>
      </c>
    </row>
    <row r="20" spans="1:2" x14ac:dyDescent="0.25">
      <c r="A20" s="20"/>
      <c r="B20" s="21" t="s">
        <v>2576</v>
      </c>
    </row>
    <row r="21" spans="1:2" x14ac:dyDescent="0.25">
      <c r="A21" s="20"/>
      <c r="B21" s="21" t="s">
        <v>2576</v>
      </c>
    </row>
    <row r="22" spans="1:2" x14ac:dyDescent="0.25">
      <c r="A22" s="20"/>
      <c r="B22" s="21" t="s">
        <v>2576</v>
      </c>
    </row>
    <row r="23" spans="1:2" x14ac:dyDescent="0.25">
      <c r="A23" s="20"/>
      <c r="B23" s="21" t="s">
        <v>2576</v>
      </c>
    </row>
    <row r="24" spans="1:2" x14ac:dyDescent="0.25">
      <c r="A24" s="20"/>
      <c r="B24" s="21" t="s">
        <v>2576</v>
      </c>
    </row>
    <row r="25" spans="1:2" x14ac:dyDescent="0.25">
      <c r="A25" s="20"/>
      <c r="B25" s="21" t="s">
        <v>2576</v>
      </c>
    </row>
    <row r="26" spans="1:2" x14ac:dyDescent="0.25">
      <c r="A26" s="20"/>
      <c r="B26" s="21" t="s">
        <v>2576</v>
      </c>
    </row>
    <row r="27" spans="1:2" x14ac:dyDescent="0.25">
      <c r="A27" s="20"/>
      <c r="B27" s="21" t="s">
        <v>2576</v>
      </c>
    </row>
    <row r="28" spans="1:2" x14ac:dyDescent="0.25">
      <c r="A28" s="20"/>
      <c r="B28" s="21" t="s">
        <v>2576</v>
      </c>
    </row>
    <row r="29" spans="1:2" x14ac:dyDescent="0.25">
      <c r="A29" s="20"/>
      <c r="B29" s="21" t="s">
        <v>2576</v>
      </c>
    </row>
    <row r="30" spans="1:2" x14ac:dyDescent="0.25">
      <c r="A30" s="20"/>
      <c r="B30" s="21" t="s">
        <v>2576</v>
      </c>
    </row>
    <row r="31" spans="1:2" x14ac:dyDescent="0.25">
      <c r="A31" s="20"/>
      <c r="B31" s="21" t="s">
        <v>2576</v>
      </c>
    </row>
    <row r="32" spans="1:2" x14ac:dyDescent="0.25">
      <c r="A32" s="20"/>
      <c r="B32" s="21" t="s">
        <v>2576</v>
      </c>
    </row>
    <row r="33" spans="1:2" x14ac:dyDescent="0.25">
      <c r="A33" s="20"/>
      <c r="B33" s="21" t="s">
        <v>2576</v>
      </c>
    </row>
    <row r="34" spans="1:2" x14ac:dyDescent="0.25">
      <c r="A34" s="20"/>
      <c r="B34" s="21" t="s">
        <v>2576</v>
      </c>
    </row>
    <row r="35" spans="1:2" x14ac:dyDescent="0.25">
      <c r="A35" s="20"/>
      <c r="B35" s="21" t="s">
        <v>2576</v>
      </c>
    </row>
    <row r="36" spans="1:2" x14ac:dyDescent="0.25">
      <c r="A36" s="20"/>
      <c r="B36" s="21" t="s">
        <v>2576</v>
      </c>
    </row>
    <row r="37" spans="1:2" ht="15.75" thickBot="1" x14ac:dyDescent="0.3">
      <c r="A37" s="22"/>
      <c r="B37" s="23" t="s">
        <v>2576</v>
      </c>
    </row>
  </sheetData>
  <dataValidations count="1">
    <dataValidation type="list" sqref="B11 B18 B19 B20 B21 B22 B23 B24 B25 B26 B27 B28 B29 B30 B31 B32 B33 B34 B35 B36 B37" xr:uid="{00000000-0002-0000-0100-000004000000}">
      <formula1>"Yes,No"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0000000}">
          <x14:formula1>
            <xm:f>Rates!$B$1274:$B$1278</xm:f>
          </x14:formula1>
          <xm:sqref>B5</xm:sqref>
        </x14:dataValidation>
        <x14:dataValidation type="list" allowBlank="1" xr:uid="{00000000-0002-0000-0100-000001000000}">
          <x14:formula1>
            <xm:f>Rates!$A$8:$A$1271</xm:f>
          </x14:formula1>
          <xm:sqref>B7</xm:sqref>
        </x14:dataValidation>
        <x14:dataValidation type="list" allowBlank="1" xr:uid="{00000000-0002-0000-0100-000002000000}">
          <x14:formula1>
            <xm:f>Rates!$A$1296:$A$1307</xm:f>
          </x14:formula1>
          <xm:sqref>B13 B14 B15</xm:sqref>
        </x14:dataValidation>
        <x14:dataValidation type="list" allowBlank="1" xr:uid="{00000000-0002-0000-0100-000003000000}">
          <x14:formula1>
            <xm:f>Rates!$A$1281:$A$1293</xm:f>
          </x14:formula1>
          <xm:sqref>A18 A19 A20 A21 A22 A23 A24 A25 A26 A27 A28 A29 A30 A31 A32 A33 A34 A35 A36 A37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/>
  </sheetViews>
  <sheetFormatPr defaultRowHeight="15" x14ac:dyDescent="0.25"/>
  <sheetData>
    <row r="1" spans="1:2" x14ac:dyDescent="0.25">
      <c r="A1" t="s">
        <v>2583</v>
      </c>
      <c r="B1">
        <f>IF(Input!B5="","",INDEX(Rates!$C$1274:$C$1278,MATCH(Input!B5,Rates!$B$1274:$B$1278,0)))</f>
        <v>2.2999999999999998</v>
      </c>
    </row>
    <row r="2" spans="1:2" x14ac:dyDescent="0.25">
      <c r="A2" t="s">
        <v>2584</v>
      </c>
      <c r="B2" t="str">
        <f>IF(Input!B5="","",INDEX(Rates!$D$1274:$D$1278,MATCH(Input!B5,Rates!$B$1274:$B$1278,0)))</f>
        <v>oh</v>
      </c>
    </row>
    <row r="3" spans="1:2" x14ac:dyDescent="0.25">
      <c r="A3" t="s">
        <v>2585</v>
      </c>
      <c r="B3">
        <f>IF(Input!B7="","",VLOOKUP(Input!B7, Rates!$A$8:$C$1271,3,FALSE))</f>
        <v>4</v>
      </c>
    </row>
    <row r="4" spans="1:2" x14ac:dyDescent="0.25">
      <c r="A4" t="s">
        <v>2586</v>
      </c>
      <c r="B4">
        <f>IF(B3="","",(B3*BASE_AN*B1)/(1+VAT))</f>
        <v>1113.1607843137256</v>
      </c>
    </row>
    <row r="6" spans="1:2" x14ac:dyDescent="0.25">
      <c r="A6" t="s">
        <v>2587</v>
      </c>
      <c r="B6">
        <f>IF(Input!B9="",0,Input!B9)</f>
        <v>53</v>
      </c>
    </row>
    <row r="7" spans="1:2" x14ac:dyDescent="0.25">
      <c r="A7" t="s">
        <v>2588</v>
      </c>
      <c r="B7">
        <f>IF(COUNTIFS(Input!$A$18:$A$37,"18",Input!$B$18:$B$37,"Yes")&gt;0,1,0)</f>
        <v>0</v>
      </c>
    </row>
    <row r="8" spans="1:2" x14ac:dyDescent="0.25">
      <c r="A8" t="s">
        <v>2589</v>
      </c>
      <c r="B8">
        <f>IF(B7=1,ROUND(B6*1.5,0),B6)</f>
        <v>53</v>
      </c>
    </row>
    <row r="9" spans="1:2" x14ac:dyDescent="0.25">
      <c r="A9" t="s">
        <v>2590</v>
      </c>
      <c r="B9">
        <f>IF(B8&lt;=0,0,IF(B8&lt;=60,CEILING(B8/15,1)*2,8+CEILING((B8-60)/15,1)*3))</f>
        <v>8</v>
      </c>
    </row>
    <row r="10" spans="1:2" x14ac:dyDescent="0.25">
      <c r="A10" t="s">
        <v>2591</v>
      </c>
      <c r="B10">
        <f>IF(B1="","",(BASE_AN*B1)/(1+VAT))</f>
        <v>278.29019607843139</v>
      </c>
    </row>
    <row r="11" spans="1:2" x14ac:dyDescent="0.25">
      <c r="A11" t="s">
        <v>2592</v>
      </c>
      <c r="B11">
        <f>B9*B10</f>
        <v>2226.3215686274511</v>
      </c>
    </row>
    <row r="13" spans="1:2" x14ac:dyDescent="0.25">
      <c r="A13" t="s">
        <v>2577</v>
      </c>
      <c r="B13">
        <f>IF(Input!B11="Yes",Input!D11,0)</f>
        <v>0</v>
      </c>
    </row>
    <row r="14" spans="1:2" x14ac:dyDescent="0.25">
      <c r="A14" t="s">
        <v>2593</v>
      </c>
      <c r="B14">
        <f>IF(B13&lt;=0,0,CEILING(B13/30,1))</f>
        <v>0</v>
      </c>
    </row>
    <row r="15" spans="1:2" x14ac:dyDescent="0.25">
      <c r="A15" t="s">
        <v>2594</v>
      </c>
      <c r="B15">
        <f>(BASE_CL*B1)/(1+VAT)</f>
        <v>39.198039215686279</v>
      </c>
    </row>
    <row r="16" spans="1:2" x14ac:dyDescent="0.25">
      <c r="A16" t="s">
        <v>2595</v>
      </c>
      <c r="B16">
        <f>B15*12</f>
        <v>470.37647058823535</v>
      </c>
    </row>
    <row r="17" spans="1:2" x14ac:dyDescent="0.25">
      <c r="A17" t="s">
        <v>2596</v>
      </c>
      <c r="B17">
        <f>B14*B16</f>
        <v>0</v>
      </c>
    </row>
    <row r="20" spans="1:2" x14ac:dyDescent="0.25">
      <c r="A20" t="s">
        <v>2597</v>
      </c>
      <c r="B20">
        <f>SUMPRODUCT( (COUNTIF(Input!$A$18:$A$37, Rates!$A$1281:$A$1293)&gt;0) * ( Rates!$C$1281:$C$1293 * (((Rates!$D$1281:$D$1293="an")*BASE_AN) + ((Rates!$D$1281:$D$1293="cl")*BASE_CL)) * B1 / (1+VAT) ) )</f>
        <v>2226.3215686274511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showGridLines="0" workbookViewId="0">
      <pane ySplit="5" topLeftCell="A6" activePane="bottomLeft" state="frozen"/>
      <selection pane="bottomLeft" activeCell="B17" sqref="B17"/>
    </sheetView>
  </sheetViews>
  <sheetFormatPr defaultRowHeight="15" x14ac:dyDescent="0.25"/>
  <cols>
    <col min="1" max="1" width="12" customWidth="1"/>
    <col min="2" max="2" width="50" customWidth="1"/>
    <col min="3" max="3" width="8" customWidth="1"/>
    <col min="4" max="4" width="18" customWidth="1"/>
    <col min="5" max="5" width="8" customWidth="1"/>
    <col min="6" max="6" width="18" customWidth="1"/>
    <col min="8" max="8" width="28" customWidth="1"/>
    <col min="9" max="9" width="20" customWidth="1"/>
  </cols>
  <sheetData>
    <row r="1" spans="1:9" ht="18.75" x14ac:dyDescent="0.25">
      <c r="A1" s="11" t="s">
        <v>2598</v>
      </c>
      <c r="B1" s="12"/>
      <c r="C1" s="12"/>
      <c r="D1" s="12"/>
      <c r="E1" s="12"/>
      <c r="F1" s="12"/>
      <c r="H1" s="13" t="s">
        <v>2599</v>
      </c>
      <c r="I1" s="12"/>
    </row>
    <row r="2" spans="1:9" x14ac:dyDescent="0.25">
      <c r="A2" s="3" t="s">
        <v>2521</v>
      </c>
      <c r="B2" t="str">
        <f>Input!B1</f>
        <v>John Shirley</v>
      </c>
      <c r="C2" s="3" t="s">
        <v>2570</v>
      </c>
      <c r="D2" t="str">
        <f>Input!B2</f>
        <v>K01.1</v>
      </c>
      <c r="E2" s="3" t="s">
        <v>2600</v>
      </c>
      <c r="F2" t="str">
        <f>Input!B5</f>
        <v>Classic Direct (Day Case / OH)</v>
      </c>
      <c r="H2" s="4" t="s">
        <v>2583</v>
      </c>
      <c r="I2" s="5">
        <f>Calculations!B1</f>
        <v>2.2999999999999998</v>
      </c>
    </row>
    <row r="3" spans="1:9" x14ac:dyDescent="0.25">
      <c r="A3" s="3" t="s">
        <v>2571</v>
      </c>
      <c r="B3" t="str">
        <f>Input!B3</f>
        <v>Dr N Vafaei )pr. 0662747)</v>
      </c>
      <c r="C3" s="3" t="s">
        <v>2524</v>
      </c>
      <c r="D3" t="str">
        <f>Input!B7</f>
        <v>0285</v>
      </c>
      <c r="E3" s="3" t="s">
        <v>2601</v>
      </c>
      <c r="F3">
        <f>Input!B9</f>
        <v>53</v>
      </c>
      <c r="H3" s="4" t="s">
        <v>2584</v>
      </c>
      <c r="I3" s="5" t="str">
        <f>Calculations!B2</f>
        <v>oh</v>
      </c>
    </row>
    <row r="4" spans="1:9" x14ac:dyDescent="0.25">
      <c r="H4" s="4" t="s">
        <v>2585</v>
      </c>
      <c r="I4" s="5">
        <f>Calculations!B3</f>
        <v>4</v>
      </c>
    </row>
    <row r="5" spans="1:9" x14ac:dyDescent="0.25">
      <c r="A5" s="6" t="s">
        <v>5</v>
      </c>
      <c r="B5" s="6" t="s">
        <v>6</v>
      </c>
      <c r="C5" s="6" t="s">
        <v>2602</v>
      </c>
      <c r="D5" s="6" t="s">
        <v>2603</v>
      </c>
      <c r="E5" s="6" t="s">
        <v>2604</v>
      </c>
      <c r="F5" s="6" t="s">
        <v>2605</v>
      </c>
      <c r="H5" s="4" t="s">
        <v>2606</v>
      </c>
      <c r="I5" s="5">
        <f>Calculations!B4</f>
        <v>1113.1607843137256</v>
      </c>
    </row>
    <row r="6" spans="1:9" x14ac:dyDescent="0.25">
      <c r="A6" s="2" t="str">
        <f>IF(Input!B13="","",Input!B13)</f>
        <v>151</v>
      </c>
      <c r="B6" s="1" t="str">
        <f>IF(Input!B13="","",VLOOKUP(Input!B13, Rates!$A$1295:$B$1307,2,FALSE))</f>
        <v>Pre-anaesthetic Assessment</v>
      </c>
      <c r="C6" s="2">
        <f>IF(Input!B13="",0,1)</f>
        <v>1</v>
      </c>
      <c r="D6" s="7">
        <f>IF(Input!B13="",0,IF(Calculations!B2="IH",VLOOKUP(Input!B13, Rates!$A$1295:$D$1307,3,FALSE),VLOOKUP(Input!B13, Rates!$A$1295:$D$1307,4,FALSE))/(1+VAT))</f>
        <v>443.47826086956525</v>
      </c>
      <c r="E6" s="2" t="s">
        <v>2607</v>
      </c>
      <c r="F6" s="7">
        <f t="shared" ref="F6:F11" si="0">C6*D6</f>
        <v>443.47826086956525</v>
      </c>
      <c r="H6" s="4" t="s">
        <v>2587</v>
      </c>
      <c r="I6" s="5">
        <f>Calculations!B6</f>
        <v>53</v>
      </c>
    </row>
    <row r="7" spans="1:9" x14ac:dyDescent="0.25">
      <c r="A7" s="2" t="str">
        <f>IF(Input!B14="","",Input!B14)</f>
        <v>146</v>
      </c>
      <c r="B7" s="1" t="str">
        <f>IF(Input!B14="","",VLOOKUP(Input!B14, Rates!$A$1295:$B$1307,2,FALSE))</f>
        <v>Emergency Consult (at rooms)</v>
      </c>
      <c r="C7" s="2">
        <f>IF(Input!B14="",0,1)</f>
        <v>1</v>
      </c>
      <c r="D7" s="7">
        <f>IF(Input!B14="",0,IF(Calculations!B2="IH",VLOOKUP(Input!B14, Rates!$A$1295:$D$1307,3,FALSE),VLOOKUP(Input!B14, Rates!$A$1295:$D$1307,4,FALSE))/(1+VAT))</f>
        <v>208.95652173913047</v>
      </c>
      <c r="E7" s="2" t="s">
        <v>2607</v>
      </c>
      <c r="F7" s="7">
        <f t="shared" si="0"/>
        <v>208.95652173913047</v>
      </c>
      <c r="H7" s="4" t="s">
        <v>2589</v>
      </c>
      <c r="I7" s="5">
        <f>Calculations!B8</f>
        <v>53</v>
      </c>
    </row>
    <row r="8" spans="1:9" x14ac:dyDescent="0.25">
      <c r="A8" s="2" t="str">
        <f>IF(Input!B15="","",Input!B15)</f>
        <v/>
      </c>
      <c r="B8" s="1" t="str">
        <f>IF(Input!B15="","",VLOOKUP(Input!B15, Rates!$A$1295:$B$1307,2,FALSE))</f>
        <v/>
      </c>
      <c r="C8" s="2">
        <f>IF(Input!B15="",0,1)</f>
        <v>0</v>
      </c>
      <c r="D8" s="7">
        <f>IF(Input!B15="",0,IF(Calculations!B2="IH",VLOOKUP(Input!B15, Rates!$A$1295:$D$1307,3,FALSE),VLOOKUP(Input!B15, Rates!$A$1295:$D$1307,4,FALSE))/(1+VAT))</f>
        <v>0</v>
      </c>
      <c r="E8" s="2" t="s">
        <v>2607</v>
      </c>
      <c r="F8" s="7">
        <f t="shared" si="0"/>
        <v>0</v>
      </c>
      <c r="H8" s="4" t="s">
        <v>2590</v>
      </c>
      <c r="I8" s="5">
        <f>Calculations!B9</f>
        <v>8</v>
      </c>
    </row>
    <row r="9" spans="1:9" x14ac:dyDescent="0.25">
      <c r="A9" s="2" t="str">
        <f>IF(Input!B7="","",Input!B7)</f>
        <v>0285</v>
      </c>
      <c r="B9" s="1" t="str">
        <f>IF(Input!B7="","",VLOOKUP(Input!B7, Rates!$A$8:$B$1271,2,FALSE))</f>
        <v>Laser treatment for large skin lesions: Whole face or other areas of e</v>
      </c>
      <c r="C9" s="2">
        <f>IF(Input!B7="",0,1)</f>
        <v>1</v>
      </c>
      <c r="D9" s="7">
        <f>IF(Calculations!B4="",0,Calculations!B4)</f>
        <v>1113.1607843137256</v>
      </c>
      <c r="E9" s="2" t="s">
        <v>2607</v>
      </c>
      <c r="F9" s="7">
        <f t="shared" si="0"/>
        <v>1113.1607843137256</v>
      </c>
      <c r="H9" s="4" t="s">
        <v>2608</v>
      </c>
      <c r="I9" s="5">
        <f>Calculations!B10</f>
        <v>278.29019607843139</v>
      </c>
    </row>
    <row r="10" spans="1:9" x14ac:dyDescent="0.25">
      <c r="A10" s="2" t="s">
        <v>2609</v>
      </c>
      <c r="B10" s="1" t="str">
        <f>IF(Calculations!B9=0,"",_xlfn.CONCAT("Anaesthetic time ",Input!B9," min"))</f>
        <v>Anaesthetic time 53 min</v>
      </c>
      <c r="C10" s="2">
        <f>Calculations!B9</f>
        <v>8</v>
      </c>
      <c r="D10" s="7">
        <f>Calculations!B10</f>
        <v>278.29019607843139</v>
      </c>
      <c r="E10" s="2" t="s">
        <v>2607</v>
      </c>
      <c r="F10" s="7">
        <f t="shared" si="0"/>
        <v>2226.3215686274511</v>
      </c>
      <c r="H10" s="4" t="s">
        <v>2593</v>
      </c>
      <c r="I10" s="5">
        <f>Calculations!B14</f>
        <v>0</v>
      </c>
    </row>
    <row r="11" spans="1:9" x14ac:dyDescent="0.25">
      <c r="A11" s="2">
        <v>11</v>
      </c>
      <c r="B11" s="1" t="str">
        <f>IF(Calculations!B14=0,"",_xlfn.CONCAT("Emergency ",Input!D11," min"))</f>
        <v/>
      </c>
      <c r="C11" s="2">
        <f>Calculations!B14</f>
        <v>0</v>
      </c>
      <c r="D11" s="7">
        <f>Calculations!B16</f>
        <v>470.37647058823535</v>
      </c>
      <c r="E11" s="2" t="s">
        <v>2607</v>
      </c>
      <c r="F11" s="7">
        <f t="shared" si="0"/>
        <v>0</v>
      </c>
      <c r="H11" s="4" t="s">
        <v>2610</v>
      </c>
      <c r="I11" s="5">
        <f>Calculations!B16</f>
        <v>470.37647058823535</v>
      </c>
    </row>
    <row r="12" spans="1:9" x14ac:dyDescent="0.25">
      <c r="A12" s="2" t="s">
        <v>2611</v>
      </c>
      <c r="B12" s="1" t="s">
        <v>2612</v>
      </c>
      <c r="C12" s="2">
        <f>IF(Calculations!B20=0,0,1)</f>
        <v>1</v>
      </c>
      <c r="D12" s="7">
        <f>IF(Calculations!B20=0,0,Calculations!B20)</f>
        <v>2226.3215686274511</v>
      </c>
      <c r="E12" s="2" t="s">
        <v>2607</v>
      </c>
      <c r="F12" s="7">
        <f>D12</f>
        <v>2226.3215686274511</v>
      </c>
      <c r="H12" s="4" t="s">
        <v>2613</v>
      </c>
      <c r="I12" s="5">
        <f>Calculations!B20</f>
        <v>2226.3215686274511</v>
      </c>
    </row>
    <row r="13" spans="1:9" x14ac:dyDescent="0.25">
      <c r="D13" s="8"/>
      <c r="F13" s="8"/>
    </row>
    <row r="14" spans="1:9" x14ac:dyDescent="0.25">
      <c r="D14" s="8"/>
      <c r="E14" s="9" t="s">
        <v>2614</v>
      </c>
      <c r="F14" s="10">
        <f>SUM(F6:F12)</f>
        <v>6218.2387041773236</v>
      </c>
    </row>
    <row r="15" spans="1:9" x14ac:dyDescent="0.25">
      <c r="D15" s="8"/>
      <c r="E15" s="9" t="s">
        <v>2615</v>
      </c>
      <c r="F15" s="10">
        <f>F14*VAT</f>
        <v>932.73580562659845</v>
      </c>
    </row>
    <row r="16" spans="1:9" x14ac:dyDescent="0.25">
      <c r="D16" s="8"/>
      <c r="E16" s="9" t="s">
        <v>2616</v>
      </c>
      <c r="F16" s="10">
        <f>F14+F15</f>
        <v>7150.974509803922</v>
      </c>
    </row>
  </sheetData>
  <mergeCells count="2">
    <mergeCell ref="A1:F1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Rates</vt:lpstr>
      <vt:lpstr>Input</vt:lpstr>
      <vt:lpstr>Calculations</vt:lpstr>
      <vt:lpstr>Output</vt:lpstr>
      <vt:lpstr>BASE_AN</vt:lpstr>
      <vt:lpstr>BASE_CL</vt:lpstr>
      <vt:lpstr>RCF_AN</vt:lpstr>
      <vt:lpstr>RCF_CL</vt:lpstr>
      <vt:lpstr>VAT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Jeremy Lawrence</cp:lastModifiedBy>
  <dcterms:created xsi:type="dcterms:W3CDTF">2026-02-15T09:31:38Z</dcterms:created>
  <dcterms:modified xsi:type="dcterms:W3CDTF">2026-02-15T09:49:01Z</dcterms:modified>
</cp:coreProperties>
</file>